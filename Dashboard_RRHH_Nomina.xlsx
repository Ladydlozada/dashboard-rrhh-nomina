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Datos" sheetId="2" state="visible" r:id="rId4"/>
    <sheet name="Pagos" sheetId="3" state="visible" r:id="rId5"/>
    <sheet name="Nomina_Mensual" sheetId="4" state="visible" r:id="rId6"/>
    <sheet name="Calculos" sheetId="5" state="visible" r:id="rId7"/>
    <sheet name="Formulas_Clave" sheetId="6" state="visible" r:id="rId8"/>
  </sheets>
  <definedNames>
    <definedName function="false" hidden="false" name="Crit_Depto" vbProcedure="false">Calculos!$B$3</definedName>
    <definedName function="false" hidden="false" name="Datos_Baja" vbProcedure="false">Datos!$J$2:$J$133</definedName>
    <definedName function="false" hidden="false" name="Datos_Departamento" vbProcedure="false">Datos!$C$2:$C$133</definedName>
    <definedName function="false" hidden="false" name="Datos_Estado" vbProcedure="false">Datos!$H$2:$H$133</definedName>
    <definedName function="false" hidden="false" name="Datos_ID" vbProcedure="false">Datos!$A$2:$A$133</definedName>
    <definedName function="false" hidden="false" name="Datos_Ingreso" vbProcedure="false">Datos!$G$2:$G$133</definedName>
    <definedName function="false" hidden="false" name="Datos_Rating" vbProcedure="false">Datos!$I$2:$I$133</definedName>
    <definedName function="false" hidden="false" name="Datos_Salario" vbProcedure="false">Datos!$F$2:$F$133</definedName>
    <definedName function="false" hidden="false" name="Vig_Rating" vbProcedure="false">Datos!$I$2:$I$121</definedName>
    <definedName function="false" hidden="false" name="Vig_Salario" vbProcedure="false">Datos!$F$2:$F$121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<sst xmlns="http://schemas.openxmlformats.org/spreadsheetml/2006/main" count="1739" uniqueCount="400">
  <si>
    <t xml:space="preserve">📊  Análisis Inteligente de Sueldos  —  Panel KPI de Nómina</t>
  </si>
  <si>
    <t xml:space="preserve">Sueldos más claros  |  Mejor gente  |  Negocio más sólido          Proyecto de portafolio · Datos ficticios · Octubre 2026 (datos al 20/10)</t>
  </si>
  <si>
    <t xml:space="preserve">FILTRAR POR DEPARTAMENTO  ▸</t>
  </si>
  <si>
    <t xml:space="preserve">Todos</t>
  </si>
  <si>
    <t xml:space="preserve">Elige un departamento en la lista: se actualizan las tarjetas, la tendencia, el histograma y los hallazgos.</t>
  </si>
  <si>
    <t xml:space="preserve">TOTAL EMPLEADOS</t>
  </si>
  <si>
    <t xml:space="preserve">COSTO TOTAL NÓMINA</t>
  </si>
  <si>
    <t xml:space="preserve">SALARIO PROMEDIO</t>
  </si>
  <si>
    <t xml:space="preserve">% PAGO A TIEMPO</t>
  </si>
  <si>
    <t xml:space="preserve">NUEVAS CONTRATACIONES</t>
  </si>
  <si>
    <t xml:space="preserve">TASA DE ROTACIÓN</t>
  </si>
  <si>
    <t xml:space="preserve">Tendencia nómina, salario y dotación por departamento</t>
  </si>
  <si>
    <t xml:space="preserve">Distribución de salarios, desempeño y hallazgos</t>
  </si>
  <si>
    <t xml:space="preserve">Cómo leer este panel</t>
  </si>
  <si>
    <t xml:space="preserve">• Selector amarillo (arriba): filtra tarjetas, tendencia, histograma y hallazgos por departamento. Los gráficos de salario y de dotación por departamento siempre comparan los 5 departamentos, y la dispersión muestra a todos los vigentes.
• Todo se calcula con fórmulas desde las hojas Datos y Pagos (ver detalle en Formulas_Clave). Los datos son 100% ficticios.
• Empleados = activos + en licencia. Rotación = bajas del mes / headcount a fin de mes. Variaciones de % se muestran en puntos porcentuales (pp). En rotación, una subida se marca en rojo.</t>
  </si>
  <si>
    <t xml:space="preserve">ID Empleado</t>
  </si>
  <si>
    <t xml:space="preserve">Nombre</t>
  </si>
  <si>
    <t xml:space="preserve">Departamento</t>
  </si>
  <si>
    <t xml:space="preserve">Puesto</t>
  </si>
  <si>
    <t xml:space="preserve">Nivel</t>
  </si>
  <si>
    <t xml:space="preserve">Salario Mensual</t>
  </si>
  <si>
    <t xml:space="preserve">Fecha Ingreso</t>
  </si>
  <si>
    <t xml:space="preserve">Estado</t>
  </si>
  <si>
    <t xml:space="preserve">Rating Desempeño</t>
  </si>
  <si>
    <t xml:space="preserve">Fecha Baja</t>
  </si>
  <si>
    <t xml:space="preserve">E001</t>
  </si>
  <si>
    <t xml:space="preserve">Lucía Rodríguez</t>
  </si>
  <si>
    <t xml:space="preserve">Ventas</t>
  </si>
  <si>
    <t xml:space="preserve">Ejecutivo de Ventas</t>
  </si>
  <si>
    <t xml:space="preserve">Analista</t>
  </si>
  <si>
    <t xml:space="preserve">Activo</t>
  </si>
  <si>
    <t xml:space="preserve">E003</t>
  </si>
  <si>
    <t xml:space="preserve">Julieta Fernández</t>
  </si>
  <si>
    <t xml:space="preserve">Operaciones</t>
  </si>
  <si>
    <t xml:space="preserve">Especialista en Soporte</t>
  </si>
  <si>
    <t xml:space="preserve">Especialista</t>
  </si>
  <si>
    <t xml:space="preserve">E004</t>
  </si>
  <si>
    <t xml:space="preserve">Isabella Suárez</t>
  </si>
  <si>
    <t xml:space="preserve">IT</t>
  </si>
  <si>
    <t xml:space="preserve">Arquitecto de Software</t>
  </si>
  <si>
    <t xml:space="preserve">Senior</t>
  </si>
  <si>
    <t xml:space="preserve">Licencia</t>
  </si>
  <si>
    <t xml:space="preserve">E006</t>
  </si>
  <si>
    <t xml:space="preserve">Ramiro López</t>
  </si>
  <si>
    <t xml:space="preserve">Account Manager</t>
  </si>
  <si>
    <t xml:space="preserve">E007</t>
  </si>
  <si>
    <t xml:space="preserve">Valentina Ramírez</t>
  </si>
  <si>
    <t xml:space="preserve">QA Analyst</t>
  </si>
  <si>
    <t xml:space="preserve">E008</t>
  </si>
  <si>
    <t xml:space="preserve">Leandro Ibáñez</t>
  </si>
  <si>
    <t xml:space="preserve">Desarrollador Sr</t>
  </si>
  <si>
    <t xml:space="preserve">E009</t>
  </si>
  <si>
    <t xml:space="preserve">Antonia Acosta</t>
  </si>
  <si>
    <t xml:space="preserve">E011</t>
  </si>
  <si>
    <t xml:space="preserve">Bruno Acosta</t>
  </si>
  <si>
    <t xml:space="preserve">E012</t>
  </si>
  <si>
    <t xml:space="preserve">Daniela Núñez</t>
  </si>
  <si>
    <t xml:space="preserve">E013</t>
  </si>
  <si>
    <t xml:space="preserve">Emiliano Vera</t>
  </si>
  <si>
    <t xml:space="preserve">E014</t>
  </si>
  <si>
    <t xml:space="preserve">Catalina Pérez</t>
  </si>
  <si>
    <t xml:space="preserve">Desarrollador Jr</t>
  </si>
  <si>
    <t xml:space="preserve">Junior</t>
  </si>
  <si>
    <t xml:space="preserve">E015</t>
  </si>
  <si>
    <t xml:space="preserve">Camila Ramírez</t>
  </si>
  <si>
    <t xml:space="preserve">RRHH</t>
  </si>
  <si>
    <t xml:space="preserve">Generalista de RRHH</t>
  </si>
  <si>
    <t xml:space="preserve">E017</t>
  </si>
  <si>
    <t xml:space="preserve">Julián Rojas</t>
  </si>
  <si>
    <t xml:space="preserve">Coordinador Logístico</t>
  </si>
  <si>
    <t xml:space="preserve">E018</t>
  </si>
  <si>
    <t xml:space="preserve">Abril Sánchez</t>
  </si>
  <si>
    <t xml:space="preserve">Representante Comercial</t>
  </si>
  <si>
    <t xml:space="preserve">E019</t>
  </si>
  <si>
    <t xml:space="preserve">Valentina Álvarez</t>
  </si>
  <si>
    <t xml:space="preserve">Reclutador</t>
  </si>
  <si>
    <t xml:space="preserve">E020</t>
  </si>
  <si>
    <t xml:space="preserve">Joaquín Álvarez</t>
  </si>
  <si>
    <t xml:space="preserve">DevOps Engineer</t>
  </si>
  <si>
    <t xml:space="preserve">E021</t>
  </si>
  <si>
    <t xml:space="preserve">Antonia Fernández</t>
  </si>
  <si>
    <t xml:space="preserve">E022</t>
  </si>
  <si>
    <t xml:space="preserve">Sebastián Gómez</t>
  </si>
  <si>
    <t xml:space="preserve">E023</t>
  </si>
  <si>
    <t xml:space="preserve">Antonia Benítez</t>
  </si>
  <si>
    <t xml:space="preserve">E024</t>
  </si>
  <si>
    <t xml:space="preserve">Joaquín Sánchez</t>
  </si>
  <si>
    <t xml:space="preserve">E025</t>
  </si>
  <si>
    <t xml:space="preserve">Victoria Núñez</t>
  </si>
  <si>
    <t xml:space="preserve">E026</t>
  </si>
  <si>
    <t xml:space="preserve">Valentina García</t>
  </si>
  <si>
    <t xml:space="preserve">Especialista en Nómina</t>
  </si>
  <si>
    <t xml:space="preserve">E027</t>
  </si>
  <si>
    <t xml:space="preserve">Renata Medina</t>
  </si>
  <si>
    <t xml:space="preserve">E028</t>
  </si>
  <si>
    <t xml:space="preserve">Sofía Rodríguez</t>
  </si>
  <si>
    <t xml:space="preserve">E029</t>
  </si>
  <si>
    <t xml:space="preserve">Josefina Martínez</t>
  </si>
  <si>
    <t xml:space="preserve">Finanzas</t>
  </si>
  <si>
    <t xml:space="preserve">Controller</t>
  </si>
  <si>
    <t xml:space="preserve">E030</t>
  </si>
  <si>
    <t xml:space="preserve">Emilia Flores</t>
  </si>
  <si>
    <t xml:space="preserve">E032</t>
  </si>
  <si>
    <t xml:space="preserve">Rocío Romero</t>
  </si>
  <si>
    <t xml:space="preserve">E033</t>
  </si>
  <si>
    <t xml:space="preserve">Tomás Medina</t>
  </si>
  <si>
    <t xml:space="preserve">E034</t>
  </si>
  <si>
    <t xml:space="preserve">Emiliano Díaz</t>
  </si>
  <si>
    <t xml:space="preserve">E035</t>
  </si>
  <si>
    <t xml:space="preserve">Valentina López</t>
  </si>
  <si>
    <t xml:space="preserve">E036</t>
  </si>
  <si>
    <t xml:space="preserve">Alejandro Álvarez</t>
  </si>
  <si>
    <t xml:space="preserve">E037</t>
  </si>
  <si>
    <t xml:space="preserve">Andrés Vera</t>
  </si>
  <si>
    <t xml:space="preserve">E038</t>
  </si>
  <si>
    <t xml:space="preserve">Valentina Sánchez</t>
  </si>
  <si>
    <t xml:space="preserve">E040</t>
  </si>
  <si>
    <t xml:space="preserve">Sofía González</t>
  </si>
  <si>
    <t xml:space="preserve">E041</t>
  </si>
  <si>
    <t xml:space="preserve">Andrés Benítez</t>
  </si>
  <si>
    <t xml:space="preserve">E042</t>
  </si>
  <si>
    <t xml:space="preserve">Valeria Rivas</t>
  </si>
  <si>
    <t xml:space="preserve">E043</t>
  </si>
  <si>
    <t xml:space="preserve">Diego Rojas</t>
  </si>
  <si>
    <t xml:space="preserve">E044</t>
  </si>
  <si>
    <t xml:space="preserve">Julián Molina</t>
  </si>
  <si>
    <t xml:space="preserve">Tesorero</t>
  </si>
  <si>
    <t xml:space="preserve">E045</t>
  </si>
  <si>
    <t xml:space="preserve">Tomás Ramírez</t>
  </si>
  <si>
    <t xml:space="preserve">E046</t>
  </si>
  <si>
    <t xml:space="preserve">Martina Rodríguez</t>
  </si>
  <si>
    <t xml:space="preserve">Analista de Operaciones</t>
  </si>
  <si>
    <t xml:space="preserve">E047</t>
  </si>
  <si>
    <t xml:space="preserve">Valentina Fernández</t>
  </si>
  <si>
    <t xml:space="preserve">E048</t>
  </si>
  <si>
    <t xml:space="preserve">Julieta Núñez</t>
  </si>
  <si>
    <t xml:space="preserve">E049</t>
  </si>
  <si>
    <t xml:space="preserve">Sofía Ibáñez</t>
  </si>
  <si>
    <t xml:space="preserve">E050</t>
  </si>
  <si>
    <t xml:space="preserve">Antonella García</t>
  </si>
  <si>
    <t xml:space="preserve">E051</t>
  </si>
  <si>
    <t xml:space="preserve">Victoria Gómez</t>
  </si>
  <si>
    <t xml:space="preserve">Analista Financiero</t>
  </si>
  <si>
    <t xml:space="preserve">E052</t>
  </si>
  <si>
    <t xml:space="preserve">Facundo Díaz</t>
  </si>
  <si>
    <t xml:space="preserve">E053</t>
  </si>
  <si>
    <t xml:space="preserve">Daniela Molina</t>
  </si>
  <si>
    <t xml:space="preserve">E055</t>
  </si>
  <si>
    <t xml:space="preserve">Facundo Silva</t>
  </si>
  <si>
    <t xml:space="preserve">E057</t>
  </si>
  <si>
    <t xml:space="preserve">Lucía Castro</t>
  </si>
  <si>
    <t xml:space="preserve">E058</t>
  </si>
  <si>
    <t xml:space="preserve">Rodrigo González</t>
  </si>
  <si>
    <t xml:space="preserve">E059</t>
  </si>
  <si>
    <t xml:space="preserve">Julieta Rodríguez</t>
  </si>
  <si>
    <t xml:space="preserve">E060</t>
  </si>
  <si>
    <t xml:space="preserve">Emilia Ortiz</t>
  </si>
  <si>
    <t xml:space="preserve">E061</t>
  </si>
  <si>
    <t xml:space="preserve">Emilia Castro</t>
  </si>
  <si>
    <t xml:space="preserve">E062</t>
  </si>
  <si>
    <t xml:space="preserve">Facundo García</t>
  </si>
  <si>
    <t xml:space="preserve">E063</t>
  </si>
  <si>
    <t xml:space="preserve">Paula Silva</t>
  </si>
  <si>
    <t xml:space="preserve">E064</t>
  </si>
  <si>
    <t xml:space="preserve">Paula Romero</t>
  </si>
  <si>
    <t xml:space="preserve">E065</t>
  </si>
  <si>
    <t xml:space="preserve">Lucas Herrera</t>
  </si>
  <si>
    <t xml:space="preserve">E066</t>
  </si>
  <si>
    <t xml:space="preserve">Milagros González</t>
  </si>
  <si>
    <t xml:space="preserve">E067</t>
  </si>
  <si>
    <t xml:space="preserve">Rocío González</t>
  </si>
  <si>
    <t xml:space="preserve">E068</t>
  </si>
  <si>
    <t xml:space="preserve">Maximiliano Fernández</t>
  </si>
  <si>
    <t xml:space="preserve">Analista de RRHH</t>
  </si>
  <si>
    <t xml:space="preserve">E069</t>
  </si>
  <si>
    <t xml:space="preserve">Isabella Benítez</t>
  </si>
  <si>
    <t xml:space="preserve">E070</t>
  </si>
  <si>
    <t xml:space="preserve">Camila Castro</t>
  </si>
  <si>
    <t xml:space="preserve">E071</t>
  </si>
  <si>
    <t xml:space="preserve">Victoria Castro</t>
  </si>
  <si>
    <t xml:space="preserve">E072</t>
  </si>
  <si>
    <t xml:space="preserve">Florencia Núñez</t>
  </si>
  <si>
    <t xml:space="preserve">E073</t>
  </si>
  <si>
    <t xml:space="preserve">Ignacio Núñez</t>
  </si>
  <si>
    <t xml:space="preserve">E074</t>
  </si>
  <si>
    <t xml:space="preserve">Valeria Martínez</t>
  </si>
  <si>
    <t xml:space="preserve">E075</t>
  </si>
  <si>
    <t xml:space="preserve">Ignacio Gómez</t>
  </si>
  <si>
    <t xml:space="preserve">E076</t>
  </si>
  <si>
    <t xml:space="preserve">Paula Suárez</t>
  </si>
  <si>
    <t xml:space="preserve">Contador</t>
  </si>
  <si>
    <t xml:space="preserve">E077</t>
  </si>
  <si>
    <t xml:space="preserve">Milagros Pérez</t>
  </si>
  <si>
    <t xml:space="preserve">E079</t>
  </si>
  <si>
    <t xml:space="preserve">Alejandro Molina</t>
  </si>
  <si>
    <t xml:space="preserve">E080</t>
  </si>
  <si>
    <t xml:space="preserve">Santiago Sánchez</t>
  </si>
  <si>
    <t xml:space="preserve">E081</t>
  </si>
  <si>
    <t xml:space="preserve">Emiliano Gómez</t>
  </si>
  <si>
    <t xml:space="preserve">E082</t>
  </si>
  <si>
    <t xml:space="preserve">Emilia Ruiz</t>
  </si>
  <si>
    <t xml:space="preserve">E083</t>
  </si>
  <si>
    <t xml:space="preserve">Ximena Rojas</t>
  </si>
  <si>
    <t xml:space="preserve">E084</t>
  </si>
  <si>
    <t xml:space="preserve">Andrés Gómez</t>
  </si>
  <si>
    <t xml:space="preserve">E085</t>
  </si>
  <si>
    <t xml:space="preserve">Nicolás Benítez</t>
  </si>
  <si>
    <t xml:space="preserve">E086</t>
  </si>
  <si>
    <t xml:space="preserve">Franco Molina</t>
  </si>
  <si>
    <t xml:space="preserve">E087</t>
  </si>
  <si>
    <t xml:space="preserve">Rodrigo Ramírez</t>
  </si>
  <si>
    <t xml:space="preserve">E088</t>
  </si>
  <si>
    <t xml:space="preserve">Benjamín Núñez</t>
  </si>
  <si>
    <t xml:space="preserve">E089</t>
  </si>
  <si>
    <t xml:space="preserve">Joaquín Ortiz</t>
  </si>
  <si>
    <t xml:space="preserve">E091</t>
  </si>
  <si>
    <t xml:space="preserve">Ignacio Ramírez</t>
  </si>
  <si>
    <t xml:space="preserve">E092</t>
  </si>
  <si>
    <t xml:space="preserve">Rocío Ruiz</t>
  </si>
  <si>
    <t xml:space="preserve">E093</t>
  </si>
  <si>
    <t xml:space="preserve">Martina Álvarez</t>
  </si>
  <si>
    <t xml:space="preserve">E094</t>
  </si>
  <si>
    <t xml:space="preserve">Gonzalo Martínez</t>
  </si>
  <si>
    <t xml:space="preserve">E095</t>
  </si>
  <si>
    <t xml:space="preserve">Daniela Torres</t>
  </si>
  <si>
    <t xml:space="preserve">E096</t>
  </si>
  <si>
    <t xml:space="preserve">Matías López</t>
  </si>
  <si>
    <t xml:space="preserve">E097</t>
  </si>
  <si>
    <t xml:space="preserve">Ramiro Ramírez</t>
  </si>
  <si>
    <t xml:space="preserve">E098</t>
  </si>
  <si>
    <t xml:space="preserve">Camila Pérez</t>
  </si>
  <si>
    <t xml:space="preserve">E100</t>
  </si>
  <si>
    <t xml:space="preserve">Valentina Díaz</t>
  </si>
  <si>
    <t xml:space="preserve">E101</t>
  </si>
  <si>
    <t xml:space="preserve">Mateo Torres</t>
  </si>
  <si>
    <t xml:space="preserve">E103</t>
  </si>
  <si>
    <t xml:space="preserve">Alejandro Castro</t>
  </si>
  <si>
    <t xml:space="preserve">E104</t>
  </si>
  <si>
    <t xml:space="preserve">Benjamín Suárez</t>
  </si>
  <si>
    <t xml:space="preserve">E105</t>
  </si>
  <si>
    <t xml:space="preserve">Daniela Romero</t>
  </si>
  <si>
    <t xml:space="preserve">E106</t>
  </si>
  <si>
    <t xml:space="preserve">Lucía Sánchez</t>
  </si>
  <si>
    <t xml:space="preserve">E107</t>
  </si>
  <si>
    <t xml:space="preserve">Tomás López</t>
  </si>
  <si>
    <t xml:space="preserve">E108</t>
  </si>
  <si>
    <t xml:space="preserve">Florencia Silva</t>
  </si>
  <si>
    <t xml:space="preserve">E109</t>
  </si>
  <si>
    <t xml:space="preserve">Isabella Fernández</t>
  </si>
  <si>
    <t xml:space="preserve">E110</t>
  </si>
  <si>
    <t xml:space="preserve">Camila Martínez</t>
  </si>
  <si>
    <t xml:space="preserve">E111</t>
  </si>
  <si>
    <t xml:space="preserve">Lucía Álvarez</t>
  </si>
  <si>
    <t xml:space="preserve">E112</t>
  </si>
  <si>
    <t xml:space="preserve">Antonella Vera</t>
  </si>
  <si>
    <t xml:space="preserve">E113</t>
  </si>
  <si>
    <t xml:space="preserve">Valeria Ruiz</t>
  </si>
  <si>
    <t xml:space="preserve">E114</t>
  </si>
  <si>
    <t xml:space="preserve">Benjamín Pérez</t>
  </si>
  <si>
    <t xml:space="preserve">E115</t>
  </si>
  <si>
    <t xml:space="preserve">Benjamín Benítez</t>
  </si>
  <si>
    <t xml:space="preserve">E116</t>
  </si>
  <si>
    <t xml:space="preserve">Renata Ramírez</t>
  </si>
  <si>
    <t xml:space="preserve">E117</t>
  </si>
  <si>
    <t xml:space="preserve">Carolina Martínez</t>
  </si>
  <si>
    <t xml:space="preserve">E118</t>
  </si>
  <si>
    <t xml:space="preserve">Abril Rojas</t>
  </si>
  <si>
    <t xml:space="preserve">E119</t>
  </si>
  <si>
    <t xml:space="preserve">Maximiliano Castro</t>
  </si>
  <si>
    <t xml:space="preserve">E120</t>
  </si>
  <si>
    <t xml:space="preserve">Joaquín Ruiz</t>
  </si>
  <si>
    <t xml:space="preserve">E121</t>
  </si>
  <si>
    <t xml:space="preserve">Alejandro López</t>
  </si>
  <si>
    <t xml:space="preserve">E122</t>
  </si>
  <si>
    <t xml:space="preserve">Gabriela Núñez</t>
  </si>
  <si>
    <t xml:space="preserve">E123</t>
  </si>
  <si>
    <t xml:space="preserve">Franco Ruiz</t>
  </si>
  <si>
    <t xml:space="preserve">E124</t>
  </si>
  <si>
    <t xml:space="preserve">Matías González</t>
  </si>
  <si>
    <t xml:space="preserve">E125</t>
  </si>
  <si>
    <t xml:space="preserve">Julián Ibáñez</t>
  </si>
  <si>
    <t xml:space="preserve">E126</t>
  </si>
  <si>
    <t xml:space="preserve">Ignacio Flores</t>
  </si>
  <si>
    <t xml:space="preserve">E127</t>
  </si>
  <si>
    <t xml:space="preserve">Ramiro Ruiz</t>
  </si>
  <si>
    <t xml:space="preserve">E128</t>
  </si>
  <si>
    <t xml:space="preserve">Tomás Acosta</t>
  </si>
  <si>
    <t xml:space="preserve">E129</t>
  </si>
  <si>
    <t xml:space="preserve">Valentina Ibáñez</t>
  </si>
  <si>
    <t xml:space="preserve">E130</t>
  </si>
  <si>
    <t xml:space="preserve">Tomás Sánchez</t>
  </si>
  <si>
    <t xml:space="preserve">E131</t>
  </si>
  <si>
    <t xml:space="preserve">Ignacio Martínez</t>
  </si>
  <si>
    <t xml:space="preserve">E132</t>
  </si>
  <si>
    <t xml:space="preserve">Antonella Ibáñez</t>
  </si>
  <si>
    <t xml:space="preserve">E002</t>
  </si>
  <si>
    <t xml:space="preserve">Ramiro Romero</t>
  </si>
  <si>
    <t xml:space="preserve">Baja</t>
  </si>
  <si>
    <t xml:space="preserve">E005</t>
  </si>
  <si>
    <t xml:space="preserve">Joaquín Núñez</t>
  </si>
  <si>
    <t xml:space="preserve">E010</t>
  </si>
  <si>
    <t xml:space="preserve">Joaquín Medina</t>
  </si>
  <si>
    <t xml:space="preserve">E016</t>
  </si>
  <si>
    <t xml:space="preserve">Ramiro Núñez</t>
  </si>
  <si>
    <t xml:space="preserve">E031</t>
  </si>
  <si>
    <t xml:space="preserve">Matías Gómez</t>
  </si>
  <si>
    <t xml:space="preserve">E039</t>
  </si>
  <si>
    <t xml:space="preserve">Valeria Silva</t>
  </si>
  <si>
    <t xml:space="preserve">E054</t>
  </si>
  <si>
    <t xml:space="preserve">Emilia García</t>
  </si>
  <si>
    <t xml:space="preserve">E056</t>
  </si>
  <si>
    <t xml:space="preserve">Catalina Romero</t>
  </si>
  <si>
    <t xml:space="preserve">E078</t>
  </si>
  <si>
    <t xml:space="preserve">Catalina Ramírez</t>
  </si>
  <si>
    <t xml:space="preserve">E090</t>
  </si>
  <si>
    <t xml:space="preserve">Lucía Rivas</t>
  </si>
  <si>
    <t xml:space="preserve">E099</t>
  </si>
  <si>
    <t xml:space="preserve">Emilia Herrera</t>
  </si>
  <si>
    <t xml:space="preserve">E102</t>
  </si>
  <si>
    <t xml:space="preserve">Valeria Ramírez</t>
  </si>
  <si>
    <t xml:space="preserve">Nota: datos 100% ficticios, generados para fines de portafolio. Las filas de Estado = 'Baja' (ex-empleados con Fecha Baja) van al final de la tabla. 'Licencia' cuenta como empleado vigente.</t>
  </si>
  <si>
    <t xml:space="preserve">Mayo 2026</t>
  </si>
  <si>
    <t xml:space="preserve">Junio 2026</t>
  </si>
  <si>
    <t xml:space="preserve">Julio 2026</t>
  </si>
  <si>
    <t xml:space="preserve">Agosto 2026</t>
  </si>
  <si>
    <t xml:space="preserve">Septiembre 2026</t>
  </si>
  <si>
    <t xml:space="preserve">Octubre 2026</t>
  </si>
  <si>
    <t xml:space="preserve">Sí</t>
  </si>
  <si>
    <t xml:space="preserve">No</t>
  </si>
  <si>
    <t xml:space="preserve">Sí = pagado a tiempo, No = pago tardío, vacío = no era empleado ese mes. Datos ficticios.</t>
  </si>
  <si>
    <t xml:space="preserve">Mes</t>
  </si>
  <si>
    <t xml:space="preserve">Inicio de mes</t>
  </si>
  <si>
    <t xml:space="preserve">Fin de mes</t>
  </si>
  <si>
    <t xml:space="preserve">Headcount</t>
  </si>
  <si>
    <t xml:space="preserve">Costo Nómina ($)</t>
  </si>
  <si>
    <t xml:space="preserve">Contrataciones</t>
  </si>
  <si>
    <t xml:space="preserve">Bajas</t>
  </si>
  <si>
    <t xml:space="preserve">Rotación %</t>
  </si>
  <si>
    <t xml:space="preserve">% Pago a Tiempo</t>
  </si>
  <si>
    <t xml:space="preserve">Salario Promedio ($)</t>
  </si>
  <si>
    <t xml:space="preserve">Mayo</t>
  </si>
  <si>
    <t xml:space="preserve">Junio</t>
  </si>
  <si>
    <t xml:space="preserve">Julio</t>
  </si>
  <si>
    <t xml:space="preserve">Agosto</t>
  </si>
  <si>
    <t xml:space="preserve">Septiembre</t>
  </si>
  <si>
    <t xml:space="preserve">Octubre</t>
  </si>
  <si>
    <t xml:space="preserve">Todo se calcula desde las hojas Datos y Pagos y responde al selector de departamento del Dashboard. Headcount = ingresados a fin de mes menos bajas a fin de mes. Octubre incluye datos hasta el 20/10/2026.</t>
  </si>
  <si>
    <t xml:space="preserve">Cálculos de KPI (alimentan el Dashboard)</t>
  </si>
  <si>
    <t xml:space="preserve">Departamento seleccionado</t>
  </si>
  <si>
    <t xml:space="preserve">Criterio usado en las fórmulas</t>
  </si>
  <si>
    <t xml:space="preserve">Indicador</t>
  </si>
  <si>
    <t xml:space="preserve">Valor Actual (Oct)</t>
  </si>
  <si>
    <t xml:space="preserve">Mes Anterior (Sep)</t>
  </si>
  <si>
    <t xml:space="preserve">Variación</t>
  </si>
  <si>
    <t xml:space="preserve">Total Empleados</t>
  </si>
  <si>
    <t xml:space="preserve">Costo Total de Nómina</t>
  </si>
  <si>
    <t xml:space="preserve">Salario Promedio</t>
  </si>
  <si>
    <t xml:space="preserve">Nuevas Contrataciones</t>
  </si>
  <si>
    <t xml:space="preserve">Tasa de Rotación</t>
  </si>
  <si>
    <t xml:space="preserve">Rango Salarial</t>
  </si>
  <si>
    <t xml:space="preserve">Empleados vigentes</t>
  </si>
  <si>
    <t xml:space="preserve">&lt; $2.5K</t>
  </si>
  <si>
    <t xml:space="preserve">$2.5K - $3.0K</t>
  </si>
  <si>
    <t xml:space="preserve">$3.0K - $3.5K</t>
  </si>
  <si>
    <t xml:space="preserve">$3.5K - $4.0K</t>
  </si>
  <si>
    <t xml:space="preserve">$4.0K - $4.5K</t>
  </si>
  <si>
    <t xml:space="preserve">&gt; $4.5K</t>
  </si>
  <si>
    <t xml:space="preserve">R² desempeño vs. salario (vigentes)</t>
  </si>
  <si>
    <t xml:space="preserve">Fórmulas clave de los KPI</t>
  </si>
  <si>
    <t xml:space="preserve">KPI</t>
  </si>
  <si>
    <t xml:space="preserve">Fórmula Excel (ejemplo, fila de octubre)</t>
  </si>
  <si>
    <t xml:space="preserve">Explicación</t>
  </si>
  <si>
    <t xml:space="preserve">Criterio de departamento</t>
  </si>
  <si>
    <t xml:space="preserve">=IF(Dashboard!E6="Todos","*",Dashboard!E6)</t>
  </si>
  <si>
    <t xml:space="preserve">Si el selector dice 'Todos' usa el comodín * (cualquier texto); si no, filtra por ese departamento. Se reutiliza como Crit_Depto.</t>
  </si>
  <si>
    <t xml:space="preserve">Total Empleados (Headcount)</t>
  </si>
  <si>
    <t xml:space="preserve">=COUNTIFS(Datos_Departamento,Crit_Depto,Datos_Ingreso,"&lt;="&amp;C7)-COUNTIFS(Datos_Departamento,Crit_Depto,Datos_Baja,"&lt;="&amp;C7)</t>
  </si>
  <si>
    <t xml:space="preserve">Ingresados a fin de mes menos los que ya tienen fecha de baja. Incluye personal en licencia.</t>
  </si>
  <si>
    <t xml:space="preserve">=SUMIFS(Datos_Salario,Datos_Departamento,Crit_Depto,Datos_Ingreso,"&lt;="&amp;C7)-SUMIFS(Datos_Salario,Datos_Departamento,Crit_Depto,Datos_Baja,"&lt;="&amp;C7)</t>
  </si>
  <si>
    <t xml:space="preserve">Suma de salarios de los vigentes a fin de mes.</t>
  </si>
  <si>
    <t xml:space="preserve">=IFERROR(E7/D7,0)</t>
  </si>
  <si>
    <t xml:space="preserve">Costo de nómina dividido por el headcount del mes.</t>
  </si>
  <si>
    <t xml:space="preserve">=COUNTIFS(Pagos!B:B,Crit_Depto,Pagos!H:H,"Sí")/(COUNTIFS(...,"Sí")+COUNTIFS(...,"No"))</t>
  </si>
  <si>
    <t xml:space="preserve">Pagos hechos a tiempo sobre el total de pagos del mes (hoja Pagos).</t>
  </si>
  <si>
    <t xml:space="preserve">=COUNTIFS(Datos_Departamento,Crit_Depto,Datos_Ingreso,"&gt;="&amp;B7,Datos_Ingreso,"&lt;="&amp;C7)</t>
  </si>
  <si>
    <t xml:space="preserve">Empleados cuya fecha de ingreso cae dentro del mes.</t>
  </si>
  <si>
    <t xml:space="preserve">=IFERROR(G7/D7,0)</t>
  </si>
  <si>
    <t xml:space="preserve">Bajas del mes (fecha de baja dentro del mes) dividido por el headcount a fin de mes.</t>
  </si>
  <si>
    <t xml:space="preserve">Variación vs. mes anterior</t>
  </si>
  <si>
    <t xml:space="preserve">=IFERROR((B6-C6)/C6,0)   |   =B9-C9 (en pp para porcentajes)</t>
  </si>
  <si>
    <t xml:space="preserve">Variación relativa para cantidades y montos; diferencia en puntos porcentuales para % de pago y rotación.</t>
  </si>
  <si>
    <t xml:space="preserve">Salario Promedio por Depto.</t>
  </si>
  <si>
    <t xml:space="preserve">=AVERAGEIFS(Datos_Salario,Datos_Departamento,"IT",Datos_Estado,"&lt;&gt;Baja")</t>
  </si>
  <si>
    <t xml:space="preserve">Promedio de vigentes por departamento (hoja Calculos).</t>
  </si>
  <si>
    <t xml:space="preserve">Distribución salarial</t>
  </si>
  <si>
    <t xml:space="preserve">=COUNTIFS(Datos_Departamento,Crit_Depto,Datos_Estado,"&lt;&gt;Baja",Datos_Salario,"&gt;=2500",Datos_Salario,"&lt;3000")</t>
  </si>
  <si>
    <t xml:space="preserve">Cuenta vigentes por rango de salario; alimenta el histograma.</t>
  </si>
  <si>
    <t xml:space="preserve">R² desempeño vs. salario</t>
  </si>
  <si>
    <t xml:space="preserve">=RSQ(Vig_Salario,Vig_Rating)</t>
  </si>
  <si>
    <t xml:space="preserve">Qué parte de la variación salarial explica el rating de desempeño.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</si>
</sst>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"/>
    <numFmt numFmtId="166" formatCode="\$#,##0"/>
    <numFmt numFmtId="167" formatCode="0.0%"/>
    <numFmt numFmtId="168" formatCode="\$#,##0,\K"/>
    <numFmt numFmtId="169" formatCode="0.0"/>
    <numFmt numFmtId="170" formatCode="dd/mm/yyyy"/>
    <numFmt numFmtId="171" formatCode="0.00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FFFFFF"/>
      <name val="Arial"/>
      <family val="0"/>
      <charset val="1"/>
    </font>
    <font>
      <i val="true"/>
      <sz val="10"/>
      <color rgb="FF5B6670"/>
      <name val="Arial"/>
      <family val="0"/>
      <charset val="1"/>
    </font>
    <font>
      <b val="true"/>
      <sz val="9"/>
      <color rgb="FF10263B"/>
      <name val="Arial"/>
      <family val="0"/>
      <charset val="1"/>
    </font>
    <font>
      <b val="true"/>
      <sz val="12"/>
      <color rgb="FF10263B"/>
      <name val="Arial"/>
      <family val="0"/>
      <charset val="1"/>
    </font>
    <font>
      <i val="true"/>
      <sz val="9"/>
      <color rgb="FF5B6670"/>
      <name val="Arial"/>
      <family val="0"/>
      <charset val="1"/>
    </font>
    <font>
      <b val="true"/>
      <sz val="9"/>
      <color rgb="FF5B6670"/>
      <name val="Arial"/>
      <family val="0"/>
      <charset val="1"/>
    </font>
    <font>
      <b val="true"/>
      <sz val="20"/>
      <color rgb="FF0E7C7B"/>
      <name val="Arial"/>
      <family val="0"/>
      <charset val="1"/>
    </font>
    <font>
      <b val="true"/>
      <sz val="20"/>
      <color rgb="FF76B041"/>
      <name val="Arial"/>
      <family val="0"/>
      <charset val="1"/>
    </font>
    <font>
      <b val="true"/>
      <sz val="20"/>
      <color rgb="FF5B5F97"/>
      <name val="Arial"/>
      <family val="0"/>
      <charset val="1"/>
    </font>
    <font>
      <b val="true"/>
      <sz val="20"/>
      <color rgb="FFF2A541"/>
      <name val="Arial"/>
      <family val="0"/>
      <charset val="1"/>
    </font>
    <font>
      <b val="true"/>
      <sz val="20"/>
      <color rgb="FF10263B"/>
      <name val="Arial"/>
      <family val="0"/>
      <charset val="1"/>
    </font>
    <font>
      <b val="true"/>
      <sz val="20"/>
      <color rgb="FFE4572E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2B3640"/>
      <name val="Arial"/>
      <family val="0"/>
      <charset val="1"/>
    </font>
    <font>
      <sz val="10"/>
      <color rgb="FF5B667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0"/>
      <name val="Arial"/>
      <family val="0"/>
      <charset val="1"/>
    </font>
    <font>
      <b val="true"/>
      <sz val="13"/>
      <color rgb="FF10263B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4"/>
      <color rgb="FF10263B"/>
      <name val="Arial"/>
      <family val="0"/>
      <charset val="1"/>
    </font>
    <font>
      <sz val="9"/>
      <color rgb="FF1565C0"/>
      <name val="Consolas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0263B"/>
        <bgColor rgb="FF2B3640"/>
      </patternFill>
    </fill>
    <fill>
      <patternFill patternType="solid">
        <fgColor rgb="FFFFF2CC"/>
        <bgColor rgb="FFF4F6F8"/>
      </patternFill>
    </fill>
    <fill>
      <patternFill patternType="solid">
        <fgColor rgb="FF0E7C7B"/>
        <bgColor rgb="FF008080"/>
      </patternFill>
    </fill>
    <fill>
      <patternFill patternType="solid">
        <fgColor rgb="FF76B041"/>
        <bgColor rgb="FF969696"/>
      </patternFill>
    </fill>
    <fill>
      <patternFill patternType="solid">
        <fgColor rgb="FF5B5F97"/>
        <bgColor rgb="FF5B6670"/>
      </patternFill>
    </fill>
    <fill>
      <patternFill patternType="solid">
        <fgColor rgb="FFF2A541"/>
        <bgColor rgb="FFFF8080"/>
      </patternFill>
    </fill>
    <fill>
      <patternFill patternType="solid">
        <fgColor rgb="FFE4572E"/>
        <bgColor rgb="FFC62828"/>
      </patternFill>
    </fill>
    <fill>
      <patternFill patternType="solid">
        <fgColor rgb="FFFFFFFF"/>
        <bgColor rgb="FFF9F9F9"/>
      </patternFill>
    </fill>
    <fill>
      <patternFill patternType="solid">
        <fgColor rgb="FFF4F6F8"/>
        <bgColor rgb="FFF9F9F9"/>
      </patternFill>
    </fill>
    <fill>
      <patternFill patternType="solid">
        <fgColor rgb="FFEEF2F4"/>
        <bgColor rgb="FFF4F6F8"/>
      </patternFill>
    </fill>
    <fill>
      <patternFill patternType="solid">
        <fgColor rgb="FFE8ECEF"/>
        <bgColor rgb="FFEEF2F4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medium">
        <color rgb="FFF2A541"/>
      </left>
      <right style="medium">
        <color rgb="FFF2A541"/>
      </right>
      <top style="medium">
        <color rgb="FFF2A541"/>
      </top>
      <bottom style="medium">
        <color rgb="FFF2A541"/>
      </bottom>
      <diagonal/>
    </border>
    <border diagonalUp="false" diagonalDown="false">
      <left style="thin">
        <color rgb="FFD7DCE1"/>
      </left>
      <right style="thin">
        <color rgb="FFD7DCE1"/>
      </right>
      <top style="thin">
        <color rgb="FFD7DCE1"/>
      </top>
      <bottom/>
      <diagonal/>
    </border>
    <border diagonalUp="false" diagonalDown="false">
      <left style="thin">
        <color rgb="FFD7DCE1"/>
      </left>
      <right style="thin">
        <color rgb="FFD7DCE1"/>
      </right>
      <top/>
      <bottom/>
      <diagonal/>
    </border>
    <border diagonalUp="false" diagonalDown="false">
      <left style="thin">
        <color rgb="FFD7DCE1"/>
      </left>
      <right style="thin">
        <color rgb="FFD7DCE1"/>
      </right>
      <top/>
      <bottom style="thin">
        <color rgb="FFD7DC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false" indent="2" shrinkToFit="false"/>
      <protection locked="true" hidden="false"/>
    </xf>
    <xf numFmtId="164" fontId="6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4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5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9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7" fillId="10" borderId="0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11" borderId="0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1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2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2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1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2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ont>
        <name val="Arial"/>
        <charset val="1"/>
        <family val="0"/>
        <b val="1"/>
        <color rgb="FF2E7D32"/>
        <sz val="9"/>
      </font>
    </dxf>
    <dxf>
      <font>
        <name val="Arial"/>
        <charset val="1"/>
        <family val="0"/>
        <b val="1"/>
        <color rgb="FFC62828"/>
        <sz val="9"/>
      </font>
    </dxf>
    <dxf>
      <fill>
        <patternFill patternType="solid">
          <fgColor rgb="FF10263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B6670"/>
      <rgbColor rgb="FF800080"/>
      <rgbColor rgb="FF0E7C7B"/>
      <rgbColor rgb="FFD9D9D9"/>
      <rgbColor rgb="FF878787"/>
      <rgbColor rgb="FF9999FF"/>
      <rgbColor rgb="FF993366"/>
      <rgbColor rgb="FFFFF2CC"/>
      <rgbColor rgb="FFEEF2F4"/>
      <rgbColor rgb="FF660066"/>
      <rgbColor rgb="FFFF8080"/>
      <rgbColor rgb="FF1565C0"/>
      <rgbColor rgb="FFD7DC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CEF"/>
      <rgbColor rgb="FFF4F6F8"/>
      <rgbColor rgb="FFF9F9F9"/>
      <rgbColor rgb="FF99CCFF"/>
      <rgbColor rgb="FFFF99CC"/>
      <rgbColor rgb="FFCC99FF"/>
      <rgbColor rgb="FFFFCC99"/>
      <rgbColor rgb="FF4F81BD"/>
      <rgbColor rgb="FF33CCCC"/>
      <rgbColor rgb="FF76B041"/>
      <rgbColor rgb="FFFFCC00"/>
      <rgbColor rgb="FFF2A541"/>
      <rgbColor rgb="FFE4572E"/>
      <rgbColor rgb="FF5B5F97"/>
      <rgbColor rgb="FF969696"/>
      <rgbColor rgb="FF10263B"/>
      <rgbColor rgb="FF2E7D32"/>
      <rgbColor rgb="FF003300"/>
      <rgbColor rgb="FF333300"/>
      <rgbColor rgb="FFC62828"/>
      <rgbColor rgb="FF993366"/>
      <rgbColor rgb="FF333399"/>
      <rgbColor rgb="FF2B36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Evolución de Nómina y Dotación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Nomina_Mensual!E1</c:f>
              <c:strCache>
                <c:ptCount val="1"/>
                <c:pt idx="0">
                  <c:v>Costo Nómina ($)</c:v>
                </c:pt>
              </c:strCache>
            </c:strRef>
          </c:tx>
          <c:spPr>
            <a:solidFill>
              <a:srgbClr val="0e7c7b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Nomina_Mensual!$A$2:$A$7</c:f>
              <c:strCache>
                <c:ptCount val="6"/>
                <c:pt idx="0">
                  <c:v>Mayo</c:v>
                </c:pt>
                <c:pt idx="1">
                  <c:v>Junio</c:v>
                </c:pt>
                <c:pt idx="2">
                  <c:v>Julio</c:v>
                </c:pt>
                <c:pt idx="3">
                  <c:v>Agosto</c:v>
                </c:pt>
                <c:pt idx="4">
                  <c:v>Septiembre</c:v>
                </c:pt>
                <c:pt idx="5">
                  <c:v>Octubre</c:v>
                </c:pt>
              </c:strCache>
            </c:strRef>
          </c:cat>
          <c:val>
            <c:numRef>
              <c:f>Nomina_Mensual!$E$2:$E$7</c:f>
              <c:numCache>
                <c:formatCode>\$#,##0</c:formatCode>
                <c:ptCount val="6"/>
                <c:pt idx="0">
                  <c:v>354390</c:v>
                </c:pt>
                <c:pt idx="1">
                  <c:v>366120</c:v>
                </c:pt>
                <c:pt idx="2">
                  <c:v>375830</c:v>
                </c:pt>
                <c:pt idx="3">
                  <c:v>386050</c:v>
                </c:pt>
                <c:pt idx="4">
                  <c:v>393260</c:v>
                </c:pt>
                <c:pt idx="5">
                  <c:v>404470</c:v>
                </c:pt>
              </c:numCache>
            </c:numRef>
          </c:val>
        </c:ser>
        <c:gapWidth val="50"/>
        <c:overlap val="0"/>
        <c:axId val="51409032"/>
        <c:axId val="60064001"/>
      </c:barChart>
      <c:lineChart>
        <c:grouping val="standard"/>
        <c:varyColors val="0"/>
        <c:ser>
          <c:idx val="1"/>
          <c:order val="1"/>
          <c:tx>
            <c:strRef>
              <c:f>Nomina_Mensual!D1</c:f>
              <c:strCache>
                <c:ptCount val="1"/>
                <c:pt idx="0">
                  <c:v>Headcount</c:v>
                </c:pt>
              </c:strCache>
            </c:strRef>
          </c:tx>
          <c:spPr>
            <a:solidFill>
              <a:srgbClr val="e4572e"/>
            </a:solidFill>
            <a:ln w="21960">
              <a:solidFill>
                <a:srgbClr val="e4572e"/>
              </a:solidFill>
              <a:round/>
            </a:ln>
          </c:spPr>
          <c:marker>
            <c:symbol val="circle"/>
            <c:size val="6"/>
            <c:spPr>
              <a:solidFill>
                <a:srgbClr val="e4572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Nomina_Mensual!$A$2:$A$7</c:f>
              <c:strCache>
                <c:ptCount val="6"/>
                <c:pt idx="0">
                  <c:v>Mayo</c:v>
                </c:pt>
                <c:pt idx="1">
                  <c:v>Junio</c:v>
                </c:pt>
                <c:pt idx="2">
                  <c:v>Julio</c:v>
                </c:pt>
                <c:pt idx="3">
                  <c:v>Agosto</c:v>
                </c:pt>
                <c:pt idx="4">
                  <c:v>Septiembre</c:v>
                </c:pt>
                <c:pt idx="5">
                  <c:v>Octubre</c:v>
                </c:pt>
              </c:strCache>
            </c:strRef>
          </c:cat>
          <c:val>
            <c:numRef>
              <c:f>Nomina_Mensual!$D$2:$D$7</c:f>
              <c:numCache>
                <c:formatCode>General</c:formatCode>
                <c:ptCount val="6"/>
                <c:pt idx="0">
                  <c:v>107</c:v>
                </c:pt>
                <c:pt idx="1">
                  <c:v>110</c:v>
                </c:pt>
                <c:pt idx="2">
                  <c:v>113</c:v>
                </c:pt>
                <c:pt idx="3">
                  <c:v>116</c:v>
                </c:pt>
                <c:pt idx="4">
                  <c:v>118</c:v>
                </c:pt>
                <c:pt idx="5">
                  <c:v>120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76609086"/>
        <c:axId val="2426170"/>
      </c:lineChart>
      <c:catAx>
        <c:axId val="51409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064001"/>
        <c:crosses val="autoZero"/>
        <c:auto val="1"/>
        <c:lblAlgn val="ctr"/>
        <c:lblOffset val="100"/>
        <c:noMultiLvlLbl val="0"/>
      </c:catAx>
      <c:valAx>
        <c:axId val="60064001"/>
        <c:scaling>
          <c:orientation val="minMax"/>
          <c:min val="0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Costo Nómina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,\K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409032"/>
        <c:crosses val="autoZero"/>
        <c:crossBetween val="between"/>
      </c:valAx>
      <c:catAx>
        <c:axId val="76609086"/>
        <c:scaling>
          <c:orientation val="minMax"/>
        </c:scaling>
        <c:delete val="1"/>
        <c:axPos val="t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26170"/>
        <c:crosses val="autoZero"/>
        <c:auto val="1"/>
        <c:lblAlgn val="ctr"/>
        <c:lblOffset val="100"/>
        <c:noMultiLvlLbl val="0"/>
      </c:catAx>
      <c:valAx>
        <c:axId val="2426170"/>
        <c:scaling>
          <c:orientation val="minMax"/>
        </c:scaling>
        <c:delete val="0"/>
        <c:axPos val="r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Headcount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609086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Salario Promedio por Departamento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Calculos!B14</c:f>
              <c:strCache>
                <c:ptCount val="1"/>
                <c:pt idx="0">
                  <c:v>Salario Promedio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Pt>
            <c:idx val="0"/>
            <c:invertIfNegative val="0"/>
            <c:spPr>
              <a:solidFill>
                <a:srgbClr val="0e7c7b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invertIfNegative val="0"/>
            <c:spPr>
              <a:solidFill>
                <a:srgbClr val="5b5f97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invertIfNegative val="0"/>
            <c:spPr>
              <a:solidFill>
                <a:srgbClr val="f2a541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3"/>
            <c:invertIfNegative val="0"/>
            <c:spPr>
              <a:solidFill>
                <a:srgbClr val="e4572e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4"/>
            <c:invertIfNegative val="0"/>
            <c:spPr>
              <a:solidFill>
                <a:srgbClr val="76b041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Calculos!$A$15:$A$19</c:f>
              <c:strCache>
                <c:ptCount val="5"/>
                <c:pt idx="0">
                  <c:v>IT</c:v>
                </c:pt>
                <c:pt idx="1">
                  <c:v>RRHH</c:v>
                </c:pt>
                <c:pt idx="2">
                  <c:v>Finanzas</c:v>
                </c:pt>
                <c:pt idx="3">
                  <c:v>Ventas</c:v>
                </c:pt>
                <c:pt idx="4">
                  <c:v>Operaciones</c:v>
                </c:pt>
              </c:strCache>
            </c:strRef>
          </c:cat>
          <c:val>
            <c:numRef>
              <c:f>Calculos!$B$15:$B$19</c:f>
              <c:numCache>
                <c:formatCode>\$#,##0</c:formatCode>
                <c:ptCount val="5"/>
                <c:pt idx="0">
                  <c:v>3803.24324324324</c:v>
                </c:pt>
                <c:pt idx="1">
                  <c:v>3193.79310344828</c:v>
                </c:pt>
                <c:pt idx="2">
                  <c:v>3517.33333333333</c:v>
                </c:pt>
                <c:pt idx="3">
                  <c:v>3043.15789473684</c:v>
                </c:pt>
                <c:pt idx="4">
                  <c:v>3027.5</c:v>
                </c:pt>
              </c:numCache>
            </c:numRef>
          </c:val>
        </c:ser>
        <c:gapWidth val="40"/>
        <c:overlap val="0"/>
        <c:axId val="16626911"/>
        <c:axId val="20939202"/>
      </c:barChart>
      <c:catAx>
        <c:axId val="16626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939202"/>
        <c:crosses val="autoZero"/>
        <c:auto val="1"/>
        <c:lblAlgn val="ctr"/>
        <c:lblOffset val="100"/>
        <c:noMultiLvlLbl val="0"/>
      </c:catAx>
      <c:valAx>
        <c:axId val="20939202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Salario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62691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Dotación por Departamento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tx>
            <c:strRef>
              <c:f>Calculos!C14</c:f>
              <c:strCache>
                <c:ptCount val="1"/>
                <c:pt idx="0">
                  <c:v>Headcount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e7c7b"/>
              </a:solidFill>
              <a:ln w="0">
                <a:noFill/>
              </a:ln>
            </c:spPr>
          </c:dPt>
          <c:dPt>
            <c:idx val="1"/>
            <c:spPr>
              <a:solidFill>
                <a:srgbClr val="5b5f97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2a541"/>
              </a:solidFill>
              <a:ln w="0">
                <a:noFill/>
              </a:ln>
            </c:spPr>
          </c:dPt>
          <c:dPt>
            <c:idx val="3"/>
            <c:spPr>
              <a:solidFill>
                <a:srgbClr val="e4572e"/>
              </a:solidFill>
              <a:ln w="0">
                <a:noFill/>
              </a:ln>
            </c:spPr>
          </c:dPt>
          <c:dPt>
            <c:idx val="4"/>
            <c:spPr>
              <a:solidFill>
                <a:srgbClr val="76b041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eparator>
</c:separator>
            <c:showLeaderLines val="1"/>
          </c:dLbls>
          <c:cat>
            <c:strRef>
              <c:f>Calculos!$A$15:$A$19</c:f>
              <c:strCache>
                <c:ptCount val="5"/>
                <c:pt idx="0">
                  <c:v>IT</c:v>
                </c:pt>
                <c:pt idx="1">
                  <c:v>RRHH</c:v>
                </c:pt>
                <c:pt idx="2">
                  <c:v>Finanzas</c:v>
                </c:pt>
                <c:pt idx="3">
                  <c:v>Ventas</c:v>
                </c:pt>
                <c:pt idx="4">
                  <c:v>Operaciones</c:v>
                </c:pt>
              </c:strCache>
            </c:strRef>
          </c:cat>
          <c:val>
            <c:numRef>
              <c:f>Calculos!$C$15:$C$19</c:f>
              <c:numCache>
                <c:formatCode>General</c:formatCode>
                <c:ptCount val="5"/>
                <c:pt idx="0">
                  <c:v>37</c:v>
                </c:pt>
                <c:pt idx="1">
                  <c:v>29</c:v>
                </c:pt>
                <c:pt idx="2">
                  <c:v>15</c:v>
                </c:pt>
                <c:pt idx="3">
                  <c:v>19</c:v>
                </c:pt>
                <c:pt idx="4">
                  <c:v>20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Distribución de Salarios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Calculos!B22</c:f>
              <c:strCache>
                <c:ptCount val="1"/>
                <c:pt idx="0">
                  <c:v>Empleados vigentes</c:v>
                </c:pt>
              </c:strCache>
            </c:strRef>
          </c:tx>
          <c:spPr>
            <a:solidFill>
              <a:srgbClr val="5b5f97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Calculos!$A$23:$A$28</c:f>
              <c:strCache>
                <c:ptCount val="6"/>
                <c:pt idx="0">
                  <c:v>&lt; $2.5K</c:v>
                </c:pt>
                <c:pt idx="1">
                  <c:v>$2.5K - $3.0K</c:v>
                </c:pt>
                <c:pt idx="2">
                  <c:v>$3.0K - $3.5K</c:v>
                </c:pt>
                <c:pt idx="3">
                  <c:v>$3.5K - $4.0K</c:v>
                </c:pt>
                <c:pt idx="4">
                  <c:v>$4.0K - $4.5K</c:v>
                </c:pt>
                <c:pt idx="5">
                  <c:v>&gt; $4.5K</c:v>
                </c:pt>
              </c:strCache>
            </c:strRef>
          </c:cat>
          <c:val>
            <c:numRef>
              <c:f>Calculos!$B$23:$B$28</c:f>
              <c:numCache>
                <c:formatCode>General</c:formatCode>
                <c:ptCount val="6"/>
                <c:pt idx="0">
                  <c:v>7</c:v>
                </c:pt>
                <c:pt idx="1">
                  <c:v>25</c:v>
                </c:pt>
                <c:pt idx="2">
                  <c:v>40</c:v>
                </c:pt>
                <c:pt idx="3">
                  <c:v>30</c:v>
                </c:pt>
                <c:pt idx="4">
                  <c:v>12</c:v>
                </c:pt>
                <c:pt idx="5">
                  <c:v>6</c:v>
                </c:pt>
              </c:numCache>
            </c:numRef>
          </c:val>
        </c:ser>
        <c:gapWidth val="15"/>
        <c:overlap val="0"/>
        <c:axId val="21933590"/>
        <c:axId val="84382839"/>
      </c:barChart>
      <c:catAx>
        <c:axId val="2193359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382839"/>
        <c:crosses val="autoZero"/>
        <c:auto val="1"/>
        <c:lblAlgn val="ctr"/>
        <c:lblOffset val="100"/>
        <c:noMultiLvlLbl val="0"/>
      </c:catAx>
      <c:valAx>
        <c:axId val="8438283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N° de Empleados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93359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Desempeño vs. Salario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"Empleados vigentes"</c:f>
              <c:strCache>
                <c:ptCount val="1"/>
                <c:pt idx="0">
                  <c:v>Empleados vigentes</c:v>
                </c:pt>
              </c:strCache>
            </c:strRef>
          </c:tx>
          <c:spPr>
            <a:solidFill>
              <a:srgbClr val="0e7c7b"/>
            </a:solidFill>
            <a:ln w="47520">
              <a:noFill/>
            </a:ln>
          </c:spPr>
          <c:marker>
            <c:symbol val="circle"/>
            <c:size val="5"/>
            <c:spPr>
              <a:solidFill>
                <a:srgbClr val="0e7c7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19080">
                <a:solidFill>
                  <a:srgbClr val="e4572e"/>
                </a:solidFill>
                <a:prstDash val="dash"/>
                <a:round/>
              </a:ln>
            </c:spPr>
            <c:trendlineType val="linear"/>
            <c:forward val="0"/>
            <c:backward val="0"/>
            <c:dispRSqr val="0"/>
            <c:dispEq val="0"/>
          </c:trendline>
          <c:xVal>
            <c:numRef>
              <c:f>Datos!$I$2:$I$121</c:f>
              <c:numCache>
                <c:formatCode>General</c:formatCode>
                <c:ptCount val="120"/>
                <c:pt idx="0">
                  <c:v>4.5</c:v>
                </c:pt>
                <c:pt idx="1">
                  <c:v>3.5</c:v>
                </c:pt>
                <c:pt idx="2">
                  <c:v>2.9</c:v>
                </c:pt>
                <c:pt idx="3">
                  <c:v>3.8</c:v>
                </c:pt>
                <c:pt idx="4">
                  <c:v>3</c:v>
                </c:pt>
                <c:pt idx="5">
                  <c:v>4</c:v>
                </c:pt>
                <c:pt idx="6">
                  <c:v>4.8</c:v>
                </c:pt>
                <c:pt idx="7">
                  <c:v>3.5</c:v>
                </c:pt>
                <c:pt idx="8">
                  <c:v>3.3</c:v>
                </c:pt>
                <c:pt idx="9">
                  <c:v>3.1</c:v>
                </c:pt>
                <c:pt idx="10">
                  <c:v>3.8</c:v>
                </c:pt>
                <c:pt idx="11">
                  <c:v>3.2</c:v>
                </c:pt>
                <c:pt idx="12">
                  <c:v>4.1</c:v>
                </c:pt>
                <c:pt idx="13">
                  <c:v>2.5</c:v>
                </c:pt>
                <c:pt idx="14">
                  <c:v>4.5</c:v>
                </c:pt>
                <c:pt idx="15">
                  <c:v>5</c:v>
                </c:pt>
                <c:pt idx="16">
                  <c:v>4.7</c:v>
                </c:pt>
                <c:pt idx="17">
                  <c:v>3.9</c:v>
                </c:pt>
                <c:pt idx="18">
                  <c:v>2.7</c:v>
                </c:pt>
                <c:pt idx="19">
                  <c:v>4.1</c:v>
                </c:pt>
                <c:pt idx="20">
                  <c:v>3.8</c:v>
                </c:pt>
                <c:pt idx="21">
                  <c:v>3.4</c:v>
                </c:pt>
                <c:pt idx="22">
                  <c:v>3.2</c:v>
                </c:pt>
                <c:pt idx="23">
                  <c:v>2.5</c:v>
                </c:pt>
                <c:pt idx="24">
                  <c:v>3.8</c:v>
                </c:pt>
                <c:pt idx="25">
                  <c:v>3.9</c:v>
                </c:pt>
                <c:pt idx="26">
                  <c:v>3.5</c:v>
                </c:pt>
                <c:pt idx="27">
                  <c:v>3.6</c:v>
                </c:pt>
                <c:pt idx="28">
                  <c:v>3.5</c:v>
                </c:pt>
                <c:pt idx="29">
                  <c:v>3.9</c:v>
                </c:pt>
                <c:pt idx="30">
                  <c:v>3.2</c:v>
                </c:pt>
                <c:pt idx="31">
                  <c:v>3.8</c:v>
                </c:pt>
                <c:pt idx="32">
                  <c:v>3.6</c:v>
                </c:pt>
                <c:pt idx="33">
                  <c:v>4.6</c:v>
                </c:pt>
                <c:pt idx="34">
                  <c:v>3.7</c:v>
                </c:pt>
                <c:pt idx="35">
                  <c:v>3.4</c:v>
                </c:pt>
                <c:pt idx="36">
                  <c:v>3.9</c:v>
                </c:pt>
                <c:pt idx="37">
                  <c:v>2.5</c:v>
                </c:pt>
                <c:pt idx="38">
                  <c:v>4.2</c:v>
                </c:pt>
                <c:pt idx="39">
                  <c:v>3.6</c:v>
                </c:pt>
                <c:pt idx="40">
                  <c:v>2.6</c:v>
                </c:pt>
                <c:pt idx="41">
                  <c:v>3.6</c:v>
                </c:pt>
                <c:pt idx="42">
                  <c:v>3.9</c:v>
                </c:pt>
                <c:pt idx="43">
                  <c:v>3.7</c:v>
                </c:pt>
                <c:pt idx="44">
                  <c:v>3.5</c:v>
                </c:pt>
                <c:pt idx="45">
                  <c:v>3.9</c:v>
                </c:pt>
                <c:pt idx="46">
                  <c:v>3.3</c:v>
                </c:pt>
                <c:pt idx="47">
                  <c:v>3.4</c:v>
                </c:pt>
                <c:pt idx="48">
                  <c:v>4.4</c:v>
                </c:pt>
                <c:pt idx="49">
                  <c:v>4.9</c:v>
                </c:pt>
                <c:pt idx="50">
                  <c:v>3.5</c:v>
                </c:pt>
                <c:pt idx="51">
                  <c:v>4.4</c:v>
                </c:pt>
                <c:pt idx="52">
                  <c:v>4</c:v>
                </c:pt>
                <c:pt idx="53">
                  <c:v>3.8</c:v>
                </c:pt>
                <c:pt idx="54">
                  <c:v>4.2</c:v>
                </c:pt>
                <c:pt idx="55">
                  <c:v>3.1</c:v>
                </c:pt>
                <c:pt idx="56">
                  <c:v>2.9</c:v>
                </c:pt>
                <c:pt idx="57">
                  <c:v>4.3</c:v>
                </c:pt>
                <c:pt idx="58">
                  <c:v>3.7</c:v>
                </c:pt>
                <c:pt idx="59">
                  <c:v>4.5</c:v>
                </c:pt>
                <c:pt idx="60">
                  <c:v>4.3</c:v>
                </c:pt>
                <c:pt idx="61">
                  <c:v>3.2</c:v>
                </c:pt>
                <c:pt idx="62">
                  <c:v>2.9</c:v>
                </c:pt>
                <c:pt idx="63">
                  <c:v>4.7</c:v>
                </c:pt>
                <c:pt idx="64">
                  <c:v>3.9</c:v>
                </c:pt>
                <c:pt idx="65">
                  <c:v>4.4</c:v>
                </c:pt>
                <c:pt idx="66">
                  <c:v>2.9</c:v>
                </c:pt>
                <c:pt idx="67">
                  <c:v>3.2</c:v>
                </c:pt>
                <c:pt idx="68">
                  <c:v>4.3</c:v>
                </c:pt>
                <c:pt idx="69">
                  <c:v>3.5</c:v>
                </c:pt>
                <c:pt idx="70">
                  <c:v>4.8</c:v>
                </c:pt>
                <c:pt idx="71">
                  <c:v>2.9</c:v>
                </c:pt>
                <c:pt idx="72">
                  <c:v>3.3</c:v>
                </c:pt>
                <c:pt idx="73">
                  <c:v>4</c:v>
                </c:pt>
                <c:pt idx="74">
                  <c:v>4</c:v>
                </c:pt>
                <c:pt idx="75">
                  <c:v>3.8</c:v>
                </c:pt>
                <c:pt idx="76">
                  <c:v>3.4</c:v>
                </c:pt>
                <c:pt idx="77">
                  <c:v>4</c:v>
                </c:pt>
                <c:pt idx="78">
                  <c:v>2.1</c:v>
                </c:pt>
                <c:pt idx="79">
                  <c:v>3.1</c:v>
                </c:pt>
                <c:pt idx="80">
                  <c:v>3.6</c:v>
                </c:pt>
                <c:pt idx="81">
                  <c:v>3.2</c:v>
                </c:pt>
                <c:pt idx="82">
                  <c:v>3</c:v>
                </c:pt>
                <c:pt idx="83">
                  <c:v>3.4</c:v>
                </c:pt>
                <c:pt idx="84">
                  <c:v>3.6</c:v>
                </c:pt>
                <c:pt idx="85">
                  <c:v>3.1</c:v>
                </c:pt>
                <c:pt idx="86">
                  <c:v>3.1</c:v>
                </c:pt>
                <c:pt idx="87">
                  <c:v>4.8</c:v>
                </c:pt>
                <c:pt idx="88">
                  <c:v>4.2</c:v>
                </c:pt>
                <c:pt idx="89">
                  <c:v>3.5</c:v>
                </c:pt>
                <c:pt idx="90">
                  <c:v>3.7</c:v>
                </c:pt>
                <c:pt idx="91">
                  <c:v>3.9</c:v>
                </c:pt>
                <c:pt idx="92">
                  <c:v>2.9</c:v>
                </c:pt>
                <c:pt idx="93">
                  <c:v>3.7</c:v>
                </c:pt>
                <c:pt idx="94">
                  <c:v>3.7</c:v>
                </c:pt>
                <c:pt idx="95">
                  <c:v>3.9</c:v>
                </c:pt>
                <c:pt idx="96">
                  <c:v>2.6</c:v>
                </c:pt>
                <c:pt idx="97">
                  <c:v>4.4</c:v>
                </c:pt>
                <c:pt idx="98">
                  <c:v>3.7</c:v>
                </c:pt>
                <c:pt idx="99">
                  <c:v>3.9</c:v>
                </c:pt>
                <c:pt idx="100">
                  <c:v>3.9</c:v>
                </c:pt>
                <c:pt idx="101">
                  <c:v>4.2</c:v>
                </c:pt>
                <c:pt idx="102">
                  <c:v>3.8</c:v>
                </c:pt>
                <c:pt idx="103">
                  <c:v>3.7</c:v>
                </c:pt>
                <c:pt idx="104">
                  <c:v>3.7</c:v>
                </c:pt>
                <c:pt idx="105">
                  <c:v>3</c:v>
                </c:pt>
                <c:pt idx="106">
                  <c:v>3.8</c:v>
                </c:pt>
                <c:pt idx="107">
                  <c:v>4.9</c:v>
                </c:pt>
                <c:pt idx="108">
                  <c:v>3.7</c:v>
                </c:pt>
                <c:pt idx="109">
                  <c:v>3</c:v>
                </c:pt>
                <c:pt idx="110">
                  <c:v>3.4</c:v>
                </c:pt>
                <c:pt idx="111">
                  <c:v>3.5</c:v>
                </c:pt>
                <c:pt idx="112">
                  <c:v>4</c:v>
                </c:pt>
                <c:pt idx="113">
                  <c:v>4</c:v>
                </c:pt>
                <c:pt idx="114">
                  <c:v>3.8</c:v>
                </c:pt>
                <c:pt idx="115">
                  <c:v>3.3</c:v>
                </c:pt>
                <c:pt idx="116">
                  <c:v>3.9</c:v>
                </c:pt>
                <c:pt idx="117">
                  <c:v>4.3</c:v>
                </c:pt>
                <c:pt idx="118">
                  <c:v>3.7</c:v>
                </c:pt>
                <c:pt idx="119">
                  <c:v>3.3</c:v>
                </c:pt>
              </c:numCache>
            </c:numRef>
          </c:xVal>
          <c:yVal>
            <c:numRef>
              <c:f>Datos!$F$2:$F$121</c:f>
              <c:numCache>
                <c:formatCode>\$#,##0</c:formatCode>
                <c:ptCount val="120"/>
                <c:pt idx="0">
                  <c:v>3760</c:v>
                </c:pt>
                <c:pt idx="1">
                  <c:v>3010</c:v>
                </c:pt>
                <c:pt idx="2">
                  <c:v>3270</c:v>
                </c:pt>
                <c:pt idx="3">
                  <c:v>3550</c:v>
                </c:pt>
                <c:pt idx="4">
                  <c:v>3130</c:v>
                </c:pt>
                <c:pt idx="5">
                  <c:v>4100</c:v>
                </c:pt>
                <c:pt idx="6">
                  <c:v>4840</c:v>
                </c:pt>
                <c:pt idx="7">
                  <c:v>3760</c:v>
                </c:pt>
                <c:pt idx="8">
                  <c:v>2720</c:v>
                </c:pt>
                <c:pt idx="9">
                  <c:v>3390</c:v>
                </c:pt>
                <c:pt idx="10">
                  <c:v>3480</c:v>
                </c:pt>
                <c:pt idx="11">
                  <c:v>2990</c:v>
                </c:pt>
                <c:pt idx="12">
                  <c:v>3430</c:v>
                </c:pt>
                <c:pt idx="13">
                  <c:v>2110</c:v>
                </c:pt>
                <c:pt idx="14">
                  <c:v>3720</c:v>
                </c:pt>
                <c:pt idx="15">
                  <c:v>4760</c:v>
                </c:pt>
                <c:pt idx="16">
                  <c:v>4530</c:v>
                </c:pt>
                <c:pt idx="17">
                  <c:v>3120</c:v>
                </c:pt>
                <c:pt idx="18">
                  <c:v>2810</c:v>
                </c:pt>
                <c:pt idx="19">
                  <c:v>3430</c:v>
                </c:pt>
                <c:pt idx="20">
                  <c:v>3540</c:v>
                </c:pt>
                <c:pt idx="21">
                  <c:v>3180</c:v>
                </c:pt>
                <c:pt idx="22">
                  <c:v>2830</c:v>
                </c:pt>
                <c:pt idx="23">
                  <c:v>2120</c:v>
                </c:pt>
                <c:pt idx="24">
                  <c:v>3680</c:v>
                </c:pt>
                <c:pt idx="25">
                  <c:v>3560</c:v>
                </c:pt>
                <c:pt idx="26">
                  <c:v>2870</c:v>
                </c:pt>
                <c:pt idx="27">
                  <c:v>3470</c:v>
                </c:pt>
                <c:pt idx="28">
                  <c:v>3140</c:v>
                </c:pt>
                <c:pt idx="29">
                  <c:v>3880</c:v>
                </c:pt>
                <c:pt idx="30">
                  <c:v>2640</c:v>
                </c:pt>
                <c:pt idx="31">
                  <c:v>3510</c:v>
                </c:pt>
                <c:pt idx="32">
                  <c:v>3270</c:v>
                </c:pt>
                <c:pt idx="33">
                  <c:v>4390</c:v>
                </c:pt>
                <c:pt idx="34">
                  <c:v>3680</c:v>
                </c:pt>
                <c:pt idx="35">
                  <c:v>2860</c:v>
                </c:pt>
                <c:pt idx="36">
                  <c:v>3870</c:v>
                </c:pt>
                <c:pt idx="37">
                  <c:v>2560</c:v>
                </c:pt>
                <c:pt idx="38">
                  <c:v>4050</c:v>
                </c:pt>
                <c:pt idx="39">
                  <c:v>2970</c:v>
                </c:pt>
                <c:pt idx="40">
                  <c:v>2420</c:v>
                </c:pt>
                <c:pt idx="41">
                  <c:v>3590</c:v>
                </c:pt>
                <c:pt idx="42">
                  <c:v>3250</c:v>
                </c:pt>
                <c:pt idx="43">
                  <c:v>3360</c:v>
                </c:pt>
                <c:pt idx="44">
                  <c:v>3160</c:v>
                </c:pt>
                <c:pt idx="45">
                  <c:v>4130</c:v>
                </c:pt>
                <c:pt idx="46">
                  <c:v>3510</c:v>
                </c:pt>
                <c:pt idx="47">
                  <c:v>2920</c:v>
                </c:pt>
                <c:pt idx="48">
                  <c:v>4100</c:v>
                </c:pt>
                <c:pt idx="49">
                  <c:v>3880</c:v>
                </c:pt>
                <c:pt idx="50">
                  <c:v>3740</c:v>
                </c:pt>
                <c:pt idx="51">
                  <c:v>4380</c:v>
                </c:pt>
                <c:pt idx="52">
                  <c:v>3170</c:v>
                </c:pt>
                <c:pt idx="53">
                  <c:v>2990</c:v>
                </c:pt>
                <c:pt idx="54">
                  <c:v>4030</c:v>
                </c:pt>
                <c:pt idx="55">
                  <c:v>2690</c:v>
                </c:pt>
                <c:pt idx="56">
                  <c:v>2960</c:v>
                </c:pt>
                <c:pt idx="57">
                  <c:v>3610</c:v>
                </c:pt>
                <c:pt idx="58">
                  <c:v>3460</c:v>
                </c:pt>
                <c:pt idx="59">
                  <c:v>3820</c:v>
                </c:pt>
                <c:pt idx="60">
                  <c:v>4570</c:v>
                </c:pt>
                <c:pt idx="61">
                  <c:v>2530</c:v>
                </c:pt>
                <c:pt idx="62">
                  <c:v>2600</c:v>
                </c:pt>
                <c:pt idx="63">
                  <c:v>4330</c:v>
                </c:pt>
                <c:pt idx="64">
                  <c:v>3760</c:v>
                </c:pt>
                <c:pt idx="65">
                  <c:v>4640</c:v>
                </c:pt>
                <c:pt idx="66">
                  <c:v>2440</c:v>
                </c:pt>
                <c:pt idx="67">
                  <c:v>3110</c:v>
                </c:pt>
                <c:pt idx="68">
                  <c:v>3380</c:v>
                </c:pt>
                <c:pt idx="69">
                  <c:v>2940</c:v>
                </c:pt>
                <c:pt idx="70">
                  <c:v>4560</c:v>
                </c:pt>
                <c:pt idx="71">
                  <c:v>2460</c:v>
                </c:pt>
                <c:pt idx="72">
                  <c:v>3550</c:v>
                </c:pt>
                <c:pt idx="73">
                  <c:v>3090</c:v>
                </c:pt>
                <c:pt idx="74">
                  <c:v>3250</c:v>
                </c:pt>
                <c:pt idx="75">
                  <c:v>3560</c:v>
                </c:pt>
                <c:pt idx="76">
                  <c:v>2830</c:v>
                </c:pt>
                <c:pt idx="77">
                  <c:v>3940</c:v>
                </c:pt>
                <c:pt idx="78">
                  <c:v>2120</c:v>
                </c:pt>
                <c:pt idx="79">
                  <c:v>2650</c:v>
                </c:pt>
                <c:pt idx="80">
                  <c:v>2920</c:v>
                </c:pt>
                <c:pt idx="81">
                  <c:v>3110</c:v>
                </c:pt>
                <c:pt idx="82">
                  <c:v>2600</c:v>
                </c:pt>
                <c:pt idx="83">
                  <c:v>3800</c:v>
                </c:pt>
                <c:pt idx="84">
                  <c:v>3180</c:v>
                </c:pt>
                <c:pt idx="85">
                  <c:v>3080</c:v>
                </c:pt>
                <c:pt idx="86">
                  <c:v>3020</c:v>
                </c:pt>
                <c:pt idx="87">
                  <c:v>4130</c:v>
                </c:pt>
                <c:pt idx="88">
                  <c:v>3720</c:v>
                </c:pt>
                <c:pt idx="89">
                  <c:v>2860</c:v>
                </c:pt>
                <c:pt idx="90">
                  <c:v>3500</c:v>
                </c:pt>
                <c:pt idx="91">
                  <c:v>3150</c:v>
                </c:pt>
                <c:pt idx="92">
                  <c:v>2510</c:v>
                </c:pt>
                <c:pt idx="93">
                  <c:v>3450</c:v>
                </c:pt>
                <c:pt idx="94">
                  <c:v>3480</c:v>
                </c:pt>
                <c:pt idx="95">
                  <c:v>3050</c:v>
                </c:pt>
                <c:pt idx="96">
                  <c:v>2480</c:v>
                </c:pt>
                <c:pt idx="97">
                  <c:v>4150</c:v>
                </c:pt>
                <c:pt idx="98">
                  <c:v>3270</c:v>
                </c:pt>
                <c:pt idx="99">
                  <c:v>3450</c:v>
                </c:pt>
                <c:pt idx="100">
                  <c:v>3030</c:v>
                </c:pt>
                <c:pt idx="101">
                  <c:v>3320</c:v>
                </c:pt>
                <c:pt idx="102">
                  <c:v>3100</c:v>
                </c:pt>
                <c:pt idx="103">
                  <c:v>3020</c:v>
                </c:pt>
                <c:pt idx="104">
                  <c:v>3510</c:v>
                </c:pt>
                <c:pt idx="105">
                  <c:v>2630</c:v>
                </c:pt>
                <c:pt idx="106">
                  <c:v>3350</c:v>
                </c:pt>
                <c:pt idx="107">
                  <c:v>4430</c:v>
                </c:pt>
                <c:pt idx="108">
                  <c:v>3480</c:v>
                </c:pt>
                <c:pt idx="109">
                  <c:v>2720</c:v>
                </c:pt>
                <c:pt idx="110">
                  <c:v>3460</c:v>
                </c:pt>
                <c:pt idx="111">
                  <c:v>2910</c:v>
                </c:pt>
                <c:pt idx="112">
                  <c:v>4260</c:v>
                </c:pt>
                <c:pt idx="113">
                  <c:v>3570</c:v>
                </c:pt>
                <c:pt idx="114">
                  <c:v>3880</c:v>
                </c:pt>
                <c:pt idx="115">
                  <c:v>3420</c:v>
                </c:pt>
                <c:pt idx="116">
                  <c:v>3290</c:v>
                </c:pt>
                <c:pt idx="117">
                  <c:v>3710</c:v>
                </c:pt>
                <c:pt idx="118">
                  <c:v>3500</c:v>
                </c:pt>
                <c:pt idx="119">
                  <c:v>3510</c:v>
                </c:pt>
              </c:numCache>
            </c:numRef>
          </c:yVal>
          <c:smooth val="1"/>
        </c:ser>
        <c:axId val="64213725"/>
        <c:axId val="38476396"/>
      </c:scatterChart>
      <c:valAx>
        <c:axId val="64213725"/>
        <c:scaling>
          <c:orientation val="minMax"/>
          <c:max val="5.5"/>
          <c:min val="1.5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Rating de Desempeño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476396"/>
        <c:crosses val="autoZero"/>
        <c:crossBetween val="midCat"/>
        <c:majorUnit val="0.5"/>
      </c:valAx>
      <c:valAx>
        <c:axId val="38476396"/>
        <c:scaling>
          <c:orientation val="minMax"/>
          <c:max val="6000"/>
          <c:min val="100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Salario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213725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15</xdr:row>
      <xdr:rowOff>0</xdr:rowOff>
    </xdr:from>
    <xdr:to>
      <xdr:col>8</xdr:col>
      <xdr:colOff>530280</xdr:colOff>
      <xdr:row>32</xdr:row>
      <xdr:rowOff>1080</xdr:rowOff>
    </xdr:to>
    <xdr:graphicFrame>
      <xdr:nvGraphicFramePr>
        <xdr:cNvPr id="0" name="Chart 1"/>
        <xdr:cNvGraphicFramePr/>
      </xdr:nvGraphicFramePr>
      <xdr:xfrm>
        <a:off x="141120" y="2905200"/>
        <a:ext cx="52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15</xdr:row>
      <xdr:rowOff>0</xdr:rowOff>
    </xdr:from>
    <xdr:to>
      <xdr:col>16</xdr:col>
      <xdr:colOff>530280</xdr:colOff>
      <xdr:row>32</xdr:row>
      <xdr:rowOff>1080</xdr:rowOff>
    </xdr:to>
    <xdr:graphicFrame>
      <xdr:nvGraphicFramePr>
        <xdr:cNvPr id="1" name="Chart 2"/>
        <xdr:cNvGraphicFramePr/>
      </xdr:nvGraphicFramePr>
      <xdr:xfrm>
        <a:off x="5500440" y="2905200"/>
        <a:ext cx="52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17</xdr:col>
      <xdr:colOff>0</xdr:colOff>
      <xdr:row>15</xdr:row>
      <xdr:rowOff>0</xdr:rowOff>
    </xdr:from>
    <xdr:to>
      <xdr:col>24</xdr:col>
      <xdr:colOff>62280</xdr:colOff>
      <xdr:row>32</xdr:row>
      <xdr:rowOff>1080</xdr:rowOff>
    </xdr:to>
    <xdr:graphicFrame>
      <xdr:nvGraphicFramePr>
        <xdr:cNvPr id="2" name="Chart 3"/>
        <xdr:cNvGraphicFramePr/>
      </xdr:nvGraphicFramePr>
      <xdr:xfrm>
        <a:off x="10859760" y="2905200"/>
        <a:ext cx="4751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0</xdr:colOff>
      <xdr:row>37</xdr:row>
      <xdr:rowOff>0</xdr:rowOff>
    </xdr:from>
    <xdr:to>
      <xdr:col>8</xdr:col>
      <xdr:colOff>530280</xdr:colOff>
      <xdr:row>53</xdr:row>
      <xdr:rowOff>105840</xdr:rowOff>
    </xdr:to>
    <xdr:graphicFrame>
      <xdr:nvGraphicFramePr>
        <xdr:cNvPr id="3" name="Chart 4"/>
        <xdr:cNvGraphicFramePr/>
      </xdr:nvGraphicFramePr>
      <xdr:xfrm>
        <a:off x="141120" y="7095960"/>
        <a:ext cx="52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9</xdr:col>
      <xdr:colOff>0</xdr:colOff>
      <xdr:row>37</xdr:row>
      <xdr:rowOff>0</xdr:rowOff>
    </xdr:from>
    <xdr:to>
      <xdr:col>16</xdr:col>
      <xdr:colOff>530280</xdr:colOff>
      <xdr:row>53</xdr:row>
      <xdr:rowOff>105840</xdr:rowOff>
    </xdr:to>
    <xdr:graphicFrame>
      <xdr:nvGraphicFramePr>
        <xdr:cNvPr id="4" name="Chart 5"/>
        <xdr:cNvGraphicFramePr/>
      </xdr:nvGraphicFramePr>
      <xdr:xfrm>
        <a:off x="5500440" y="7095960"/>
        <a:ext cx="52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aEmpleados" displayName="TablaEmpleados" ref="A1:J133" headerRowCount="1" totalsRowCount="0" totalsRowShown="0">
  <autoFilter ref="A1:J133"/>
  <tableColumns count="10">
    <tableColumn id="1" name="ID Empleado"/>
    <tableColumn id="2" name="Nombre"/>
    <tableColumn id="3" name="Departamento"/>
    <tableColumn id="4" name="Puesto"/>
    <tableColumn id="5" name="Nivel"/>
    <tableColumn id="6" name="Salario Mensual"/>
    <tableColumn id="7" name="Fecha Ingreso"/>
    <tableColumn id="8" name="Estado"/>
    <tableColumn id="9" name="Rating Desempeño"/>
    <tableColumn id="10" name="Fecha Baja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X65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6" min="2" style="0" width="9.51"/>
  </cols>
  <sheetData>
    <row r="2" customFormat="false" ht="15" hidden="false" customHeight="false" outlineLevel="0" collapsed="false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customFormat="false" ht="15" hidden="false" customHeight="false" outlineLevel="0" collapsed="false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customFormat="false" ht="15" hidden="false" customHeight="false" outlineLevel="0" collapsed="false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customFormat="false" ht="15" hidden="false" customHeight="false" outlineLevel="0" collapsed="false">
      <c r="B5" s="2" t="s">
        <v>1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customFormat="false" ht="24" hidden="false" customHeight="true" outlineLevel="0" collapsed="false">
      <c r="B6" s="3" t="s">
        <v>2</v>
      </c>
      <c r="C6" s="3"/>
      <c r="D6" s="3"/>
      <c r="E6" s="4" t="s">
        <v>3</v>
      </c>
      <c r="F6" s="4"/>
      <c r="G6" s="4"/>
      <c r="H6" s="5" t="s">
        <v>4</v>
      </c>
      <c r="I6" s="5"/>
      <c r="J6" s="5"/>
      <c r="K6" s="5"/>
      <c r="L6" s="5"/>
      <c r="M6" s="5"/>
      <c r="N6" s="5"/>
      <c r="O6" s="5"/>
      <c r="P6" s="5"/>
      <c r="Q6" s="5"/>
    </row>
    <row r="8" customFormat="false" ht="4.5" hidden="false" customHeight="true" outlineLevel="0" collapsed="false">
      <c r="B8" s="6"/>
      <c r="C8" s="6"/>
      <c r="D8" s="6"/>
      <c r="F8" s="7"/>
      <c r="G8" s="7"/>
      <c r="H8" s="7"/>
      <c r="J8" s="8"/>
      <c r="K8" s="8"/>
      <c r="L8" s="8"/>
      <c r="N8" s="9"/>
      <c r="O8" s="9"/>
      <c r="P8" s="9"/>
      <c r="R8" s="10"/>
      <c r="S8" s="10"/>
      <c r="T8" s="10"/>
      <c r="V8" s="11"/>
      <c r="W8" s="11"/>
      <c r="X8" s="11"/>
    </row>
    <row r="9" customFormat="false" ht="15" hidden="false" customHeight="false" outlineLevel="0" collapsed="false">
      <c r="B9" s="12" t="s">
        <v>5</v>
      </c>
      <c r="C9" s="12"/>
      <c r="D9" s="12"/>
      <c r="F9" s="12" t="s">
        <v>6</v>
      </c>
      <c r="G9" s="12"/>
      <c r="H9" s="12"/>
      <c r="J9" s="12" t="s">
        <v>7</v>
      </c>
      <c r="K9" s="12"/>
      <c r="L9" s="12"/>
      <c r="N9" s="12" t="s">
        <v>8</v>
      </c>
      <c r="O9" s="12"/>
      <c r="P9" s="12"/>
      <c r="R9" s="12" t="s">
        <v>9</v>
      </c>
      <c r="S9" s="12"/>
      <c r="T9" s="12"/>
      <c r="V9" s="12" t="s">
        <v>10</v>
      </c>
      <c r="W9" s="12"/>
      <c r="X9" s="12"/>
    </row>
    <row r="10" customFormat="false" ht="25.5" hidden="false" customHeight="true" outlineLevel="0" collapsed="false">
      <c r="B10" s="13" t="n">
        <f aca="false">Calculos!B6</f>
        <v>120</v>
      </c>
      <c r="C10" s="13"/>
      <c r="D10" s="13"/>
      <c r="F10" s="14" t="n">
        <f aca="false">Calculos!B7</f>
        <v>404470</v>
      </c>
      <c r="G10" s="14"/>
      <c r="H10" s="14"/>
      <c r="J10" s="15" t="n">
        <f aca="false">Calculos!B8</f>
        <v>3370.58333333333</v>
      </c>
      <c r="K10" s="15"/>
      <c r="L10" s="15"/>
      <c r="N10" s="16" t="n">
        <f aca="false">Calculos!B9</f>
        <v>0.991935483870968</v>
      </c>
      <c r="O10" s="16"/>
      <c r="P10" s="16"/>
      <c r="R10" s="17" t="n">
        <f aca="false">Calculos!B10</f>
        <v>6</v>
      </c>
      <c r="S10" s="17"/>
      <c r="T10" s="17"/>
      <c r="V10" s="18" t="n">
        <f aca="false">Calculos!B11</f>
        <v>0.0333333333333333</v>
      </c>
      <c r="W10" s="18"/>
      <c r="X10" s="18"/>
    </row>
    <row r="11" customFormat="false" ht="9.75" hidden="false" customHeight="true" outlineLevel="0" collapsed="false">
      <c r="B11" s="13"/>
      <c r="C11" s="13"/>
      <c r="D11" s="13"/>
      <c r="F11" s="14"/>
      <c r="G11" s="14"/>
      <c r="H11" s="14"/>
      <c r="J11" s="15"/>
      <c r="K11" s="15"/>
      <c r="L11" s="15"/>
      <c r="N11" s="16"/>
      <c r="O11" s="16"/>
      <c r="P11" s="16"/>
      <c r="R11" s="17"/>
      <c r="S11" s="17"/>
      <c r="T11" s="17"/>
      <c r="V11" s="18"/>
      <c r="W11" s="18"/>
      <c r="X11" s="18"/>
    </row>
    <row r="12" customFormat="false" ht="15" hidden="false" customHeight="false" outlineLevel="0" collapsed="false">
      <c r="B12" s="19" t="str">
        <f aca="false">IF(ROUND(Calculos!D6*100,1)=0,"● sin cambio vs. mes ant.",IF(Calculos!D6&gt;0,"▲ ","▼ ")&amp;ROUND(ABS(Calculos!D6)*100,1)&amp;"% vs. mes ant.")</f>
        <v>▲ 1.7% vs. mes ant.</v>
      </c>
      <c r="C12" s="19"/>
      <c r="D12" s="19"/>
      <c r="F12" s="19" t="str">
        <f aca="false">IF(ROUND(Calculos!D7*100,1)=0,"● sin cambio vs. mes ant.",IF(Calculos!D7&gt;0,"▲ ","▼ ")&amp;ROUND(ABS(Calculos!D7)*100,1)&amp;"% vs. mes ant.")</f>
        <v>▲ 2.9% vs. mes ant.</v>
      </c>
      <c r="G12" s="19"/>
      <c r="H12" s="19"/>
      <c r="J12" s="19" t="str">
        <f aca="false">IF(ROUND(Calculos!D8*100,1)=0,"● sin cambio vs. mes ant.",IF(Calculos!D8&gt;0,"▲ ","▼ ")&amp;ROUND(ABS(Calculos!D8)*100,1)&amp;"% vs. mes ant.")</f>
        <v>▲ 1.1% vs. mes ant.</v>
      </c>
      <c r="K12" s="19"/>
      <c r="L12" s="19"/>
      <c r="N12" s="19" t="str">
        <f aca="false">IF(ROUND(Calculos!D9*100,1)=0,"● sin cambio vs. mes ant.",IF(Calculos!D9&gt;0,"▲ ","▼ ")&amp;ROUND(ABS(Calculos!D9)*100,1)&amp;" pp vs. mes ant.")</f>
        <v>▲ 0.9 pp vs. mes ant.</v>
      </c>
      <c r="O12" s="19"/>
      <c r="P12" s="19"/>
      <c r="R12" s="19" t="str">
        <f aca="false">IF(ROUND(Calculos!D10*100,1)=0,"● sin cambio vs. mes ant.",IF(Calculos!D10&gt;0,"▲ ","▼ ")&amp;ROUND(ABS(Calculos!D10)*100,1)&amp;"% vs. mes ant.")</f>
        <v>▲ 50% vs. mes ant.</v>
      </c>
      <c r="S12" s="19"/>
      <c r="T12" s="19"/>
      <c r="V12" s="19" t="str">
        <f aca="false">IF(ROUND(Calculos!D11*100,1)=0,"● sin cambio vs. mes ant.",IF(Calculos!D11&gt;0,"▲ ","▼ ")&amp;ROUND(ABS(Calculos!D11)*100,1)&amp;" pp vs. mes ant.")</f>
        <v>▲ 1.6 pp vs. mes ant.</v>
      </c>
      <c r="W12" s="19"/>
      <c r="X12" s="19"/>
    </row>
    <row r="15" customFormat="false" ht="15" hidden="false" customHeight="false" outlineLevel="0" collapsed="false">
      <c r="B15" s="20" t="s">
        <v>11</v>
      </c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</row>
    <row r="37" customFormat="false" ht="15" hidden="false" customHeight="false" outlineLevel="0" collapsed="false">
      <c r="B37" s="20" t="s">
        <v>12</v>
      </c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</row>
    <row r="38" customFormat="false" ht="21.75" hidden="false" customHeight="true" outlineLevel="0" collapsed="false">
      <c r="R38" s="21" t="str">
        <f aca="false">"Hallazgos clave  ·  vista: "&amp;Calculos!B2</f>
        <v>Hallazgos clave  ·  vista: Todos</v>
      </c>
      <c r="S38" s="21"/>
      <c r="T38" s="21"/>
      <c r="U38" s="21"/>
      <c r="V38" s="21"/>
      <c r="W38" s="21"/>
      <c r="X38" s="21"/>
    </row>
    <row r="39" customFormat="false" ht="15" hidden="false" customHeight="false" outlineLevel="0" collapsed="false">
      <c r="R39" s="22" t="str">
        <f aca="false">"• "&amp;INDEX(Calculos!$A$15:$A$19,MATCH(MAX(Calculos!$B$15:$B$19),Calculos!$B$15:$B$19,0))&amp;" tiene el salario promedio más alto ($"&amp;FIXED(MAX(Calculos!$B$15:$B$19),0)&amp;") y "&amp;INDEX(Calculos!$A$15:$A$19,MATCH(MIN(Calculos!$B$15:$B$19),Calculos!$B$15:$B$19,0))&amp;" el más bajo ($"&amp;FIXED(MIN(Calculos!$B$15:$B$19),0)&amp;")."</f>
        <v>• IT tiene el salario promedio más alto ($3,803) y Operaciones el más bajo ($3,028).</v>
      </c>
      <c r="S39" s="22"/>
      <c r="T39" s="22"/>
      <c r="U39" s="22"/>
      <c r="V39" s="22"/>
      <c r="W39" s="22"/>
      <c r="X39" s="22"/>
    </row>
    <row r="40" customFormat="false" ht="15" hidden="false" customHeight="false" outlineLevel="0" collapsed="false">
      <c r="R40" s="22"/>
      <c r="S40" s="22"/>
      <c r="T40" s="22"/>
      <c r="U40" s="22"/>
      <c r="V40" s="22"/>
      <c r="W40" s="22"/>
      <c r="X40" s="22"/>
    </row>
    <row r="41" customFormat="false" ht="15" hidden="false" customHeight="false" outlineLevel="0" collapsed="false">
      <c r="R41" s="22"/>
      <c r="S41" s="22"/>
      <c r="T41" s="22"/>
      <c r="U41" s="22"/>
      <c r="V41" s="22"/>
      <c r="W41" s="22"/>
      <c r="X41" s="22"/>
    </row>
    <row r="42" customFormat="false" ht="15" hidden="false" customHeight="false" outlineLevel="0" collapsed="false">
      <c r="R42" s="22"/>
      <c r="S42" s="22"/>
      <c r="T42" s="22"/>
      <c r="U42" s="22"/>
      <c r="V42" s="22"/>
      <c r="W42" s="22"/>
      <c r="X42" s="22"/>
    </row>
    <row r="43" customFormat="false" ht="15" hidden="false" customHeight="false" outlineLevel="0" collapsed="false">
      <c r="R43" s="22" t="str">
        <f aca="false">"• Entre mayo y octubre la dotación pasó de "&amp;Nomina_Mensual!D2&amp;" a "&amp;Nomina_Mensual!D7&amp;" empleados y la nómina de $"&amp;FIXED(Nomina_Mensual!E2,0)&amp;" a $"&amp;FIXED(Nomina_Mensual!E7,0)&amp;" ("&amp;IF(Nomina_Mensual!E7&gt;=Nomina_Mensual!E2,"+","-")&amp;ROUND(ABS(IFERROR(Nomina_Mensual!E7/Nomina_Mensual!E2-1,0))*100,1)&amp;"%)."</f>
        <v>• Entre mayo y octubre la dotación pasó de 107 a 120 empleados y la nómina de $354,390 a $404,470 (+14.1%).</v>
      </c>
      <c r="S43" s="22"/>
      <c r="T43" s="22"/>
      <c r="U43" s="22"/>
      <c r="V43" s="22"/>
      <c r="W43" s="22"/>
      <c r="X43" s="22"/>
    </row>
    <row r="44" customFormat="false" ht="15" hidden="false" customHeight="false" outlineLevel="0" collapsed="false">
      <c r="R44" s="22"/>
      <c r="S44" s="22"/>
      <c r="T44" s="22"/>
      <c r="U44" s="22"/>
      <c r="V44" s="22"/>
      <c r="W44" s="22"/>
      <c r="X44" s="22"/>
    </row>
    <row r="45" customFormat="false" ht="15" hidden="false" customHeight="false" outlineLevel="0" collapsed="false">
      <c r="R45" s="22"/>
      <c r="S45" s="22"/>
      <c r="T45" s="22"/>
      <c r="U45" s="22"/>
      <c r="V45" s="22"/>
      <c r="W45" s="22"/>
      <c r="X45" s="22"/>
    </row>
    <row r="46" customFormat="false" ht="15" hidden="false" customHeight="false" outlineLevel="0" collapsed="false">
      <c r="R46" s="22"/>
      <c r="S46" s="22"/>
      <c r="T46" s="22"/>
      <c r="U46" s="22"/>
      <c r="V46" s="22"/>
      <c r="W46" s="22"/>
      <c r="X46" s="22"/>
    </row>
    <row r="47" customFormat="false" ht="15" hidden="false" customHeight="false" outlineLevel="0" collapsed="false">
      <c r="R47" s="22" t="str">
        <f aca="false">"• La rotación de octubre fue "&amp;ROUND(Nomina_Mensual!H7*100,1)&amp;"% ("&amp;Nomina_Mensual!G7&amp;IF(Nomina_Mensual!G7=1," baja"," bajas")&amp;"), "&amp;IF(Nomina_Mensual!H7&gt;Nomina_Mensual!H6,"mayor","menor o igual")&amp;" que la de septiembre ("&amp;ROUND(Nomina_Mensual!H6*100,1)&amp;"%)."</f>
        <v>• La rotación de octubre fue 3.3% (4 bajas), mayor que la de septiembre (1.7%).</v>
      </c>
      <c r="S47" s="22"/>
      <c r="T47" s="22"/>
      <c r="U47" s="22"/>
      <c r="V47" s="22"/>
      <c r="W47" s="22"/>
      <c r="X47" s="22"/>
    </row>
    <row r="48" customFormat="false" ht="15" hidden="false" customHeight="false" outlineLevel="0" collapsed="false">
      <c r="R48" s="22"/>
      <c r="S48" s="22"/>
      <c r="T48" s="22"/>
      <c r="U48" s="22"/>
      <c r="V48" s="22"/>
      <c r="W48" s="22"/>
      <c r="X48" s="22"/>
    </row>
    <row r="49" customFormat="false" ht="15" hidden="false" customHeight="false" outlineLevel="0" collapsed="false">
      <c r="R49" s="22"/>
      <c r="S49" s="22"/>
      <c r="T49" s="22"/>
      <c r="U49" s="22"/>
      <c r="V49" s="22"/>
      <c r="W49" s="22"/>
      <c r="X49" s="22"/>
    </row>
    <row r="50" customFormat="false" ht="15" hidden="false" customHeight="false" outlineLevel="0" collapsed="false">
      <c r="R50" s="22"/>
      <c r="S50" s="22"/>
      <c r="T50" s="22"/>
      <c r="U50" s="22"/>
      <c r="V50" s="22"/>
      <c r="W50" s="22"/>
      <c r="X50" s="22"/>
    </row>
    <row r="51" customFormat="false" ht="15" hidden="false" customHeight="false" outlineLevel="0" collapsed="false">
      <c r="R51" s="22" t="str">
        <f aca="false">"• El desempeño explica cerca del "&amp;ROUND(Calculos!B31*100,0)&amp;"% de la variación salarial (R² = "&amp;ROUND(Calculos!B31,2)&amp;")."</f>
        <v>• El desempeño explica cerca del 71% de la variación salarial (R² = 0.71).</v>
      </c>
      <c r="S51" s="22"/>
      <c r="T51" s="22"/>
      <c r="U51" s="22"/>
      <c r="V51" s="22"/>
      <c r="W51" s="22"/>
      <c r="X51" s="22"/>
    </row>
    <row r="52" customFormat="false" ht="15" hidden="false" customHeight="false" outlineLevel="0" collapsed="false">
      <c r="R52" s="22"/>
      <c r="S52" s="22"/>
      <c r="T52" s="22"/>
      <c r="U52" s="22"/>
      <c r="V52" s="22"/>
      <c r="W52" s="22"/>
      <c r="X52" s="22"/>
    </row>
    <row r="53" customFormat="false" ht="15" hidden="false" customHeight="false" outlineLevel="0" collapsed="false">
      <c r="R53" s="22"/>
      <c r="S53" s="22"/>
      <c r="T53" s="22"/>
      <c r="U53" s="22"/>
      <c r="V53" s="22"/>
      <c r="W53" s="22"/>
      <c r="X53" s="22"/>
    </row>
    <row r="54" customFormat="false" ht="15" hidden="false" customHeight="false" outlineLevel="0" collapsed="false">
      <c r="R54" s="22"/>
      <c r="S54" s="22"/>
      <c r="T54" s="22"/>
      <c r="U54" s="22"/>
      <c r="V54" s="22"/>
      <c r="W54" s="22"/>
      <c r="X54" s="22"/>
    </row>
    <row r="55" customFormat="false" ht="15" hidden="false" customHeight="false" outlineLevel="0" collapsed="false">
      <c r="R55" s="22" t="str">
        <f aca="false">"• El "&amp;ROUND(Nomina_Mensual!I7*100,1)&amp;"% de los pagos de octubre llegó a tiempo ("&amp;IF(Nomina_Mensual!I7&gt;=Nomina_Mensual!I6,"igual o mejor","peor")&amp;" que en septiembre: "&amp;ROUND(Nomina_Mensual!I6*100,1)&amp;"%)."</f>
        <v>• El 99.2% de los pagos de octubre llegó a tiempo (igual o mejor que en septiembre: 98.3%).</v>
      </c>
      <c r="S55" s="22"/>
      <c r="T55" s="22"/>
      <c r="U55" s="22"/>
      <c r="V55" s="22"/>
      <c r="W55" s="22"/>
      <c r="X55" s="22"/>
    </row>
    <row r="56" customFormat="false" ht="15" hidden="false" customHeight="false" outlineLevel="0" collapsed="false">
      <c r="R56" s="22"/>
      <c r="S56" s="22"/>
      <c r="T56" s="22"/>
      <c r="U56" s="22"/>
      <c r="V56" s="22"/>
      <c r="W56" s="22"/>
      <c r="X56" s="22"/>
    </row>
    <row r="57" customFormat="false" ht="15" hidden="false" customHeight="false" outlineLevel="0" collapsed="false">
      <c r="R57" s="22"/>
      <c r="S57" s="22"/>
      <c r="T57" s="22"/>
      <c r="U57" s="22"/>
      <c r="V57" s="22"/>
      <c r="W57" s="22"/>
      <c r="X57" s="22"/>
    </row>
    <row r="58" customFormat="false" ht="15" hidden="false" customHeight="false" outlineLevel="0" collapsed="false">
      <c r="J58" s="23" t="str">
        <f aca="false">"R² = "&amp;ROUND(Calculos!B31,2)&amp;"  ·  a mayor rating de desempeño, mayor salario (todos los vigentes)"</f>
        <v>R² = 0.71  ·  a mayor rating de desempeño, mayor salario (todos los vigentes)</v>
      </c>
      <c r="K58" s="23"/>
      <c r="L58" s="23"/>
      <c r="M58" s="23"/>
      <c r="N58" s="23"/>
      <c r="O58" s="23"/>
      <c r="P58" s="23"/>
      <c r="Q58" s="23"/>
      <c r="R58" s="22"/>
      <c r="S58" s="22"/>
      <c r="T58" s="22"/>
      <c r="U58" s="22"/>
      <c r="V58" s="22"/>
      <c r="W58" s="22"/>
      <c r="X58" s="22"/>
    </row>
    <row r="61" customFormat="false" ht="15" hidden="false" customHeight="false" outlineLevel="0" collapsed="false">
      <c r="B61" s="20" t="s">
        <v>13</v>
      </c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</row>
    <row r="62" customFormat="false" ht="15" hidden="false" customHeight="true" outlineLevel="0" collapsed="false">
      <c r="B62" s="24" t="s">
        <v>14</v>
      </c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</row>
    <row r="63" customFormat="false" ht="15" hidden="false" customHeight="false" outlineLevel="0" collapsed="false"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</row>
    <row r="64" customFormat="false" ht="15" hidden="false" customHeight="false" outlineLevel="0" collapsed="false"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</row>
    <row r="65" customFormat="false" ht="15" hidden="false" customHeight="false" outlineLevel="0" collapsed="false"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</row>
  </sheetData>
  <mergeCells count="40">
    <mergeCell ref="B2:X4"/>
    <mergeCell ref="B5:X5"/>
    <mergeCell ref="B6:D6"/>
    <mergeCell ref="E6:G6"/>
    <mergeCell ref="H6:Q6"/>
    <mergeCell ref="B8:D8"/>
    <mergeCell ref="F8:H8"/>
    <mergeCell ref="J8:L8"/>
    <mergeCell ref="N8:P8"/>
    <mergeCell ref="R8:T8"/>
    <mergeCell ref="V8:X8"/>
    <mergeCell ref="B9:D9"/>
    <mergeCell ref="F9:H9"/>
    <mergeCell ref="J9:L9"/>
    <mergeCell ref="N9:P9"/>
    <mergeCell ref="R9:T9"/>
    <mergeCell ref="V9:X9"/>
    <mergeCell ref="B10:D11"/>
    <mergeCell ref="F10:H11"/>
    <mergeCell ref="J10:L11"/>
    <mergeCell ref="N10:P11"/>
    <mergeCell ref="R10:T11"/>
    <mergeCell ref="V10:X11"/>
    <mergeCell ref="B12:D12"/>
    <mergeCell ref="F12:H12"/>
    <mergeCell ref="J12:L12"/>
    <mergeCell ref="N12:P12"/>
    <mergeCell ref="R12:T12"/>
    <mergeCell ref="V12:X12"/>
    <mergeCell ref="B15:X15"/>
    <mergeCell ref="B37:X37"/>
    <mergeCell ref="R38:X38"/>
    <mergeCell ref="R39:X42"/>
    <mergeCell ref="R43:X46"/>
    <mergeCell ref="R47:X50"/>
    <mergeCell ref="R51:X54"/>
    <mergeCell ref="R55:X58"/>
    <mergeCell ref="J58:Q58"/>
    <mergeCell ref="B61:X61"/>
    <mergeCell ref="B62:X65"/>
  </mergeCells>
  <conditionalFormatting sqref="B12">
    <cfRule type="expression" priority="2" aboveAverage="0" equalAverage="0" bottom="0" percent="0" rank="0" text="" dxfId="0">
      <formula>LEFT(B12,1)="▲"</formula>
    </cfRule>
    <cfRule type="expression" priority="3" aboveAverage="0" equalAverage="0" bottom="0" percent="0" rank="0" text="" dxfId="1">
      <formula>LEFT(B12,1)="▼"</formula>
    </cfRule>
  </conditionalFormatting>
  <conditionalFormatting sqref="F12">
    <cfRule type="expression" priority="4" aboveAverage="0" equalAverage="0" bottom="0" percent="0" rank="0" text="" dxfId="0">
      <formula>LEFT(F12,1)="▲"</formula>
    </cfRule>
    <cfRule type="expression" priority="5" aboveAverage="0" equalAverage="0" bottom="0" percent="0" rank="0" text="" dxfId="1">
      <formula>LEFT(F12,1)="▼"</formula>
    </cfRule>
  </conditionalFormatting>
  <conditionalFormatting sqref="J12">
    <cfRule type="expression" priority="6" aboveAverage="0" equalAverage="0" bottom="0" percent="0" rank="0" text="" dxfId="0">
      <formula>LEFT(J12,1)="▲"</formula>
    </cfRule>
    <cfRule type="expression" priority="7" aboveAverage="0" equalAverage="0" bottom="0" percent="0" rank="0" text="" dxfId="1">
      <formula>LEFT(J12,1)="▼"</formula>
    </cfRule>
  </conditionalFormatting>
  <conditionalFormatting sqref="N12">
    <cfRule type="expression" priority="8" aboveAverage="0" equalAverage="0" bottom="0" percent="0" rank="0" text="" dxfId="0">
      <formula>LEFT(N12,1)="▲"</formula>
    </cfRule>
    <cfRule type="expression" priority="9" aboveAverage="0" equalAverage="0" bottom="0" percent="0" rank="0" text="" dxfId="1">
      <formula>LEFT(N12,1)="▼"</formula>
    </cfRule>
  </conditionalFormatting>
  <conditionalFormatting sqref="R12">
    <cfRule type="expression" priority="10" aboveAverage="0" equalAverage="0" bottom="0" percent="0" rank="0" text="" dxfId="0">
      <formula>LEFT(R12,1)="▲"</formula>
    </cfRule>
    <cfRule type="expression" priority="11" aboveAverage="0" equalAverage="0" bottom="0" percent="0" rank="0" text="" dxfId="1">
      <formula>LEFT(R12,1)="▼"</formula>
    </cfRule>
  </conditionalFormatting>
  <conditionalFormatting sqref="V12">
    <cfRule type="expression" priority="12" aboveAverage="0" equalAverage="0" bottom="0" percent="0" rank="0" text="" dxfId="1">
      <formula>LEFT(V12,1)="▲"</formula>
    </cfRule>
    <cfRule type="expression" priority="13" aboveAverage="0" equalAverage="0" bottom="0" percent="0" rank="0" text="" dxfId="0">
      <formula>LEFT(V12,1)="▼"</formula>
    </cfRule>
  </conditionalFormatting>
  <dataValidations count="1">
    <dataValidation allowBlank="false" error="Elige un valor de la lista." errorStyle="stop" errorTitle="Departamento no válido" operator="between" prompt="Elige Todos o un departamento." promptTitle="Filtro" showDropDown="false" showErrorMessage="false" showInputMessage="false" sqref="E6" type="list">
      <formula1>"Todos,IT,RRHH,Finanzas,Ventas,Operaciones"</formula1>
      <formula2>0</formula2>
    </dataValidation>
  </dataValidation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24"/>
    <col collapsed="false" customWidth="true" hidden="false" outlineLevel="0" max="5" min="5" style="0" width="13"/>
    <col collapsed="false" customWidth="true" hidden="false" outlineLevel="0" max="6" min="6" style="0" width="15"/>
    <col collapsed="false" customWidth="true" hidden="false" outlineLevel="0" max="7" min="7" style="0" width="14"/>
    <col collapsed="false" customWidth="true" hidden="false" outlineLevel="0" max="8" min="8" style="0" width="11"/>
    <col collapsed="false" customWidth="true" hidden="false" outlineLevel="0" max="9" min="9" style="0" width="16"/>
    <col collapsed="false" customWidth="true" hidden="false" outlineLevel="0" max="10" min="10" style="0" width="13"/>
  </cols>
  <sheetData>
    <row r="1" customFormat="false" ht="31.5" hidden="false" customHeight="true" outlineLevel="0" collapsed="false">
      <c r="A1" s="25" t="s">
        <v>15</v>
      </c>
      <c r="B1" s="25" t="s">
        <v>16</v>
      </c>
      <c r="C1" s="25" t="s">
        <v>17</v>
      </c>
      <c r="D1" s="25" t="s">
        <v>18</v>
      </c>
      <c r="E1" s="25" t="s">
        <v>19</v>
      </c>
      <c r="F1" s="25" t="s">
        <v>20</v>
      </c>
      <c r="G1" s="25" t="s">
        <v>21</v>
      </c>
      <c r="H1" s="25" t="s">
        <v>22</v>
      </c>
      <c r="I1" s="25" t="s">
        <v>23</v>
      </c>
      <c r="J1" s="25" t="s">
        <v>24</v>
      </c>
    </row>
    <row r="2" customFormat="false" ht="15" hidden="false" customHeight="false" outlineLevel="0" collapsed="false">
      <c r="A2" s="26" t="s">
        <v>25</v>
      </c>
      <c r="B2" s="26" t="s">
        <v>26</v>
      </c>
      <c r="C2" s="26" t="s">
        <v>27</v>
      </c>
      <c r="D2" s="26" t="s">
        <v>28</v>
      </c>
      <c r="E2" s="26" t="s">
        <v>29</v>
      </c>
      <c r="F2" s="27" t="n">
        <v>3760</v>
      </c>
      <c r="G2" s="28" t="n">
        <v>44609</v>
      </c>
      <c r="H2" s="26" t="s">
        <v>30</v>
      </c>
      <c r="I2" s="26" t="n">
        <v>4.5</v>
      </c>
      <c r="J2" s="28"/>
    </row>
    <row r="3" customFormat="false" ht="15" hidden="false" customHeight="false" outlineLevel="0" collapsed="false">
      <c r="A3" s="26" t="s">
        <v>31</v>
      </c>
      <c r="B3" s="26" t="s">
        <v>32</v>
      </c>
      <c r="C3" s="26" t="s">
        <v>33</v>
      </c>
      <c r="D3" s="26" t="s">
        <v>34</v>
      </c>
      <c r="E3" s="26" t="s">
        <v>35</v>
      </c>
      <c r="F3" s="27" t="n">
        <v>3010</v>
      </c>
      <c r="G3" s="28" t="n">
        <v>44687</v>
      </c>
      <c r="H3" s="26" t="s">
        <v>30</v>
      </c>
      <c r="I3" s="26" t="n">
        <v>3.5</v>
      </c>
      <c r="J3" s="28"/>
    </row>
    <row r="4" customFormat="false" ht="15" hidden="false" customHeight="false" outlineLevel="0" collapsed="false">
      <c r="A4" s="26" t="s">
        <v>36</v>
      </c>
      <c r="B4" s="26" t="s">
        <v>37</v>
      </c>
      <c r="C4" s="26" t="s">
        <v>38</v>
      </c>
      <c r="D4" s="26" t="s">
        <v>39</v>
      </c>
      <c r="E4" s="26" t="s">
        <v>40</v>
      </c>
      <c r="F4" s="27" t="n">
        <v>3270</v>
      </c>
      <c r="G4" s="28" t="n">
        <v>44768</v>
      </c>
      <c r="H4" s="26" t="s">
        <v>41</v>
      </c>
      <c r="I4" s="26" t="n">
        <v>2.9</v>
      </c>
      <c r="J4" s="28"/>
    </row>
    <row r="5" customFormat="false" ht="15" hidden="false" customHeight="false" outlineLevel="0" collapsed="false">
      <c r="A5" s="26" t="s">
        <v>42</v>
      </c>
      <c r="B5" s="26" t="s">
        <v>43</v>
      </c>
      <c r="C5" s="26" t="s">
        <v>27</v>
      </c>
      <c r="D5" s="26" t="s">
        <v>44</v>
      </c>
      <c r="E5" s="26" t="s">
        <v>40</v>
      </c>
      <c r="F5" s="27" t="n">
        <v>3550</v>
      </c>
      <c r="G5" s="28" t="n">
        <v>44886</v>
      </c>
      <c r="H5" s="26" t="s">
        <v>30</v>
      </c>
      <c r="I5" s="26" t="n">
        <v>3.8</v>
      </c>
      <c r="J5" s="28"/>
    </row>
    <row r="6" customFormat="false" ht="15" hidden="false" customHeight="false" outlineLevel="0" collapsed="false">
      <c r="A6" s="26" t="s">
        <v>45</v>
      </c>
      <c r="B6" s="26" t="s">
        <v>46</v>
      </c>
      <c r="C6" s="26" t="s">
        <v>38</v>
      </c>
      <c r="D6" s="26" t="s">
        <v>47</v>
      </c>
      <c r="E6" s="26" t="s">
        <v>29</v>
      </c>
      <c r="F6" s="27" t="n">
        <v>3130</v>
      </c>
      <c r="G6" s="28" t="n">
        <v>44907</v>
      </c>
      <c r="H6" s="26" t="s">
        <v>30</v>
      </c>
      <c r="I6" s="26" t="n">
        <v>3</v>
      </c>
      <c r="J6" s="28"/>
    </row>
    <row r="7" customFormat="false" ht="15" hidden="false" customHeight="false" outlineLevel="0" collapsed="false">
      <c r="A7" s="26" t="s">
        <v>48</v>
      </c>
      <c r="B7" s="26" t="s">
        <v>49</v>
      </c>
      <c r="C7" s="26" t="s">
        <v>38</v>
      </c>
      <c r="D7" s="26" t="s">
        <v>50</v>
      </c>
      <c r="E7" s="26" t="s">
        <v>40</v>
      </c>
      <c r="F7" s="27" t="n">
        <v>4100</v>
      </c>
      <c r="G7" s="28" t="n">
        <v>44910</v>
      </c>
      <c r="H7" s="26" t="s">
        <v>30</v>
      </c>
      <c r="I7" s="26" t="n">
        <v>4</v>
      </c>
      <c r="J7" s="28"/>
    </row>
    <row r="8" customFormat="false" ht="15" hidden="false" customHeight="false" outlineLevel="0" collapsed="false">
      <c r="A8" s="26" t="s">
        <v>51</v>
      </c>
      <c r="B8" s="26" t="s">
        <v>52</v>
      </c>
      <c r="C8" s="26" t="s">
        <v>38</v>
      </c>
      <c r="D8" s="26" t="s">
        <v>50</v>
      </c>
      <c r="E8" s="26" t="s">
        <v>40</v>
      </c>
      <c r="F8" s="27" t="n">
        <v>4840</v>
      </c>
      <c r="G8" s="28" t="n">
        <v>44968</v>
      </c>
      <c r="H8" s="26" t="s">
        <v>30</v>
      </c>
      <c r="I8" s="26" t="n">
        <v>4.8</v>
      </c>
      <c r="J8" s="28"/>
    </row>
    <row r="9" customFormat="false" ht="15" hidden="false" customHeight="false" outlineLevel="0" collapsed="false">
      <c r="A9" s="26" t="s">
        <v>53</v>
      </c>
      <c r="B9" s="26" t="s">
        <v>54</v>
      </c>
      <c r="C9" s="26" t="s">
        <v>38</v>
      </c>
      <c r="D9" s="26" t="s">
        <v>39</v>
      </c>
      <c r="E9" s="26" t="s">
        <v>40</v>
      </c>
      <c r="F9" s="27" t="n">
        <v>3760</v>
      </c>
      <c r="G9" s="28" t="n">
        <v>44971</v>
      </c>
      <c r="H9" s="26" t="s">
        <v>30</v>
      </c>
      <c r="I9" s="26" t="n">
        <v>3.5</v>
      </c>
      <c r="J9" s="28"/>
    </row>
    <row r="10" customFormat="false" ht="15" hidden="false" customHeight="false" outlineLevel="0" collapsed="false">
      <c r="A10" s="26" t="s">
        <v>55</v>
      </c>
      <c r="B10" s="26" t="s">
        <v>56</v>
      </c>
      <c r="C10" s="26" t="s">
        <v>33</v>
      </c>
      <c r="D10" s="26" t="s">
        <v>34</v>
      </c>
      <c r="E10" s="26" t="s">
        <v>35</v>
      </c>
      <c r="F10" s="27" t="n">
        <v>2720</v>
      </c>
      <c r="G10" s="28" t="n">
        <v>44974</v>
      </c>
      <c r="H10" s="26" t="s">
        <v>30</v>
      </c>
      <c r="I10" s="26" t="n">
        <v>3.3</v>
      </c>
      <c r="J10" s="28"/>
    </row>
    <row r="11" customFormat="false" ht="15" hidden="false" customHeight="false" outlineLevel="0" collapsed="false">
      <c r="A11" s="26" t="s">
        <v>57</v>
      </c>
      <c r="B11" s="26" t="s">
        <v>58</v>
      </c>
      <c r="C11" s="26" t="s">
        <v>38</v>
      </c>
      <c r="D11" s="26" t="s">
        <v>39</v>
      </c>
      <c r="E11" s="26" t="s">
        <v>40</v>
      </c>
      <c r="F11" s="27" t="n">
        <v>3390</v>
      </c>
      <c r="G11" s="28" t="n">
        <v>44984</v>
      </c>
      <c r="H11" s="26" t="s">
        <v>30</v>
      </c>
      <c r="I11" s="26" t="n">
        <v>3.1</v>
      </c>
      <c r="J11" s="28"/>
    </row>
    <row r="12" customFormat="false" ht="15" hidden="false" customHeight="false" outlineLevel="0" collapsed="false">
      <c r="A12" s="26" t="s">
        <v>59</v>
      </c>
      <c r="B12" s="26" t="s">
        <v>60</v>
      </c>
      <c r="C12" s="26" t="s">
        <v>38</v>
      </c>
      <c r="D12" s="26" t="s">
        <v>61</v>
      </c>
      <c r="E12" s="26" t="s">
        <v>62</v>
      </c>
      <c r="F12" s="27" t="n">
        <v>3480</v>
      </c>
      <c r="G12" s="28" t="n">
        <v>44994</v>
      </c>
      <c r="H12" s="26" t="s">
        <v>30</v>
      </c>
      <c r="I12" s="26" t="n">
        <v>3.8</v>
      </c>
      <c r="J12" s="28"/>
    </row>
    <row r="13" customFormat="false" ht="15" hidden="false" customHeight="false" outlineLevel="0" collapsed="false">
      <c r="A13" s="26" t="s">
        <v>63</v>
      </c>
      <c r="B13" s="26" t="s">
        <v>64</v>
      </c>
      <c r="C13" s="26" t="s">
        <v>65</v>
      </c>
      <c r="D13" s="26" t="s">
        <v>66</v>
      </c>
      <c r="E13" s="26" t="s">
        <v>29</v>
      </c>
      <c r="F13" s="27" t="n">
        <v>2990</v>
      </c>
      <c r="G13" s="28" t="n">
        <v>45032</v>
      </c>
      <c r="H13" s="26" t="s">
        <v>30</v>
      </c>
      <c r="I13" s="26" t="n">
        <v>3.2</v>
      </c>
      <c r="J13" s="28"/>
    </row>
    <row r="14" customFormat="false" ht="15" hidden="false" customHeight="false" outlineLevel="0" collapsed="false">
      <c r="A14" s="26" t="s">
        <v>67</v>
      </c>
      <c r="B14" s="26" t="s">
        <v>68</v>
      </c>
      <c r="C14" s="26" t="s">
        <v>33</v>
      </c>
      <c r="D14" s="26" t="s">
        <v>69</v>
      </c>
      <c r="E14" s="26" t="s">
        <v>35</v>
      </c>
      <c r="F14" s="27" t="n">
        <v>3430</v>
      </c>
      <c r="G14" s="28" t="n">
        <v>45033</v>
      </c>
      <c r="H14" s="26" t="s">
        <v>30</v>
      </c>
      <c r="I14" s="26" t="n">
        <v>4.1</v>
      </c>
      <c r="J14" s="28"/>
    </row>
    <row r="15" customFormat="false" ht="15" hidden="false" customHeight="false" outlineLevel="0" collapsed="false">
      <c r="A15" s="26" t="s">
        <v>70</v>
      </c>
      <c r="B15" s="26" t="s">
        <v>71</v>
      </c>
      <c r="C15" s="26" t="s">
        <v>27</v>
      </c>
      <c r="D15" s="26" t="s">
        <v>72</v>
      </c>
      <c r="E15" s="26" t="s">
        <v>62</v>
      </c>
      <c r="F15" s="27" t="n">
        <v>2110</v>
      </c>
      <c r="G15" s="28" t="n">
        <v>45053</v>
      </c>
      <c r="H15" s="26" t="s">
        <v>30</v>
      </c>
      <c r="I15" s="26" t="n">
        <v>2.5</v>
      </c>
      <c r="J15" s="28"/>
    </row>
    <row r="16" customFormat="false" ht="15" hidden="false" customHeight="false" outlineLevel="0" collapsed="false">
      <c r="A16" s="26" t="s">
        <v>73</v>
      </c>
      <c r="B16" s="26" t="s">
        <v>74</v>
      </c>
      <c r="C16" s="26" t="s">
        <v>65</v>
      </c>
      <c r="D16" s="26" t="s">
        <v>75</v>
      </c>
      <c r="E16" s="26" t="s">
        <v>62</v>
      </c>
      <c r="F16" s="27" t="n">
        <v>3720</v>
      </c>
      <c r="G16" s="28" t="n">
        <v>45058</v>
      </c>
      <c r="H16" s="26" t="s">
        <v>30</v>
      </c>
      <c r="I16" s="26" t="n">
        <v>4.5</v>
      </c>
      <c r="J16" s="28"/>
    </row>
    <row r="17" customFormat="false" ht="15" hidden="false" customHeight="false" outlineLevel="0" collapsed="false">
      <c r="A17" s="26" t="s">
        <v>76</v>
      </c>
      <c r="B17" s="26" t="s">
        <v>77</v>
      </c>
      <c r="C17" s="26" t="s">
        <v>38</v>
      </c>
      <c r="D17" s="26" t="s">
        <v>78</v>
      </c>
      <c r="E17" s="26" t="s">
        <v>29</v>
      </c>
      <c r="F17" s="27" t="n">
        <v>4760</v>
      </c>
      <c r="G17" s="28" t="n">
        <v>45065</v>
      </c>
      <c r="H17" s="26" t="s">
        <v>30</v>
      </c>
      <c r="I17" s="26" t="n">
        <v>5</v>
      </c>
      <c r="J17" s="28"/>
    </row>
    <row r="18" customFormat="false" ht="15" hidden="false" customHeight="false" outlineLevel="0" collapsed="false">
      <c r="A18" s="26" t="s">
        <v>79</v>
      </c>
      <c r="B18" s="26" t="s">
        <v>80</v>
      </c>
      <c r="C18" s="26" t="s">
        <v>38</v>
      </c>
      <c r="D18" s="26" t="s">
        <v>47</v>
      </c>
      <c r="E18" s="26" t="s">
        <v>29</v>
      </c>
      <c r="F18" s="27" t="n">
        <v>4530</v>
      </c>
      <c r="G18" s="28" t="n">
        <v>45079</v>
      </c>
      <c r="H18" s="26" t="s">
        <v>30</v>
      </c>
      <c r="I18" s="26" t="n">
        <v>4.7</v>
      </c>
      <c r="J18" s="28"/>
    </row>
    <row r="19" customFormat="false" ht="15" hidden="false" customHeight="false" outlineLevel="0" collapsed="false">
      <c r="A19" s="26" t="s">
        <v>81</v>
      </c>
      <c r="B19" s="26" t="s">
        <v>82</v>
      </c>
      <c r="C19" s="26" t="s">
        <v>27</v>
      </c>
      <c r="D19" s="26" t="s">
        <v>72</v>
      </c>
      <c r="E19" s="26" t="s">
        <v>62</v>
      </c>
      <c r="F19" s="27" t="n">
        <v>3120</v>
      </c>
      <c r="G19" s="28" t="n">
        <v>45092</v>
      </c>
      <c r="H19" s="26" t="s">
        <v>30</v>
      </c>
      <c r="I19" s="26" t="n">
        <v>3.9</v>
      </c>
      <c r="J19" s="28"/>
    </row>
    <row r="20" customFormat="false" ht="15" hidden="false" customHeight="false" outlineLevel="0" collapsed="false">
      <c r="A20" s="26" t="s">
        <v>83</v>
      </c>
      <c r="B20" s="26" t="s">
        <v>84</v>
      </c>
      <c r="C20" s="26" t="s">
        <v>38</v>
      </c>
      <c r="D20" s="26" t="s">
        <v>78</v>
      </c>
      <c r="E20" s="26" t="s">
        <v>29</v>
      </c>
      <c r="F20" s="27" t="n">
        <v>2810</v>
      </c>
      <c r="G20" s="28" t="n">
        <v>45104</v>
      </c>
      <c r="H20" s="26" t="s">
        <v>30</v>
      </c>
      <c r="I20" s="26" t="n">
        <v>2.7</v>
      </c>
      <c r="J20" s="28"/>
    </row>
    <row r="21" customFormat="false" ht="15" hidden="false" customHeight="false" outlineLevel="0" collapsed="false">
      <c r="A21" s="26" t="s">
        <v>85</v>
      </c>
      <c r="B21" s="26" t="s">
        <v>86</v>
      </c>
      <c r="C21" s="26" t="s">
        <v>27</v>
      </c>
      <c r="D21" s="26" t="s">
        <v>28</v>
      </c>
      <c r="E21" s="26" t="s">
        <v>29</v>
      </c>
      <c r="F21" s="27" t="n">
        <v>3430</v>
      </c>
      <c r="G21" s="28" t="n">
        <v>45110</v>
      </c>
      <c r="H21" s="26" t="s">
        <v>30</v>
      </c>
      <c r="I21" s="26" t="n">
        <v>4.1</v>
      </c>
      <c r="J21" s="28"/>
    </row>
    <row r="22" customFormat="false" ht="15" hidden="false" customHeight="false" outlineLevel="0" collapsed="false">
      <c r="A22" s="26" t="s">
        <v>87</v>
      </c>
      <c r="B22" s="26" t="s">
        <v>88</v>
      </c>
      <c r="C22" s="26" t="s">
        <v>38</v>
      </c>
      <c r="D22" s="26" t="s">
        <v>61</v>
      </c>
      <c r="E22" s="26" t="s">
        <v>62</v>
      </c>
      <c r="F22" s="27" t="n">
        <v>3540</v>
      </c>
      <c r="G22" s="28" t="n">
        <v>45127</v>
      </c>
      <c r="H22" s="26" t="s">
        <v>30</v>
      </c>
      <c r="I22" s="26" t="n">
        <v>3.8</v>
      </c>
      <c r="J22" s="28"/>
    </row>
    <row r="23" customFormat="false" ht="15" hidden="false" customHeight="false" outlineLevel="0" collapsed="false">
      <c r="A23" s="26" t="s">
        <v>89</v>
      </c>
      <c r="B23" s="26" t="s">
        <v>90</v>
      </c>
      <c r="C23" s="26" t="s">
        <v>65</v>
      </c>
      <c r="D23" s="26" t="s">
        <v>91</v>
      </c>
      <c r="E23" s="26" t="s">
        <v>35</v>
      </c>
      <c r="F23" s="27" t="n">
        <v>3180</v>
      </c>
      <c r="G23" s="28" t="n">
        <v>45132</v>
      </c>
      <c r="H23" s="26" t="s">
        <v>30</v>
      </c>
      <c r="I23" s="26" t="n">
        <v>3.4</v>
      </c>
      <c r="J23" s="28"/>
    </row>
    <row r="24" customFormat="false" ht="15" hidden="false" customHeight="false" outlineLevel="0" collapsed="false">
      <c r="A24" s="26" t="s">
        <v>92</v>
      </c>
      <c r="B24" s="26" t="s">
        <v>93</v>
      </c>
      <c r="C24" s="26" t="s">
        <v>33</v>
      </c>
      <c r="D24" s="26" t="s">
        <v>69</v>
      </c>
      <c r="E24" s="26" t="s">
        <v>35</v>
      </c>
      <c r="F24" s="27" t="n">
        <v>2830</v>
      </c>
      <c r="G24" s="28" t="n">
        <v>45146</v>
      </c>
      <c r="H24" s="26" t="s">
        <v>30</v>
      </c>
      <c r="I24" s="26" t="n">
        <v>3.2</v>
      </c>
      <c r="J24" s="28"/>
    </row>
    <row r="25" customFormat="false" ht="15" hidden="false" customHeight="false" outlineLevel="0" collapsed="false">
      <c r="A25" s="26" t="s">
        <v>94</v>
      </c>
      <c r="B25" s="26" t="s">
        <v>95</v>
      </c>
      <c r="C25" s="26" t="s">
        <v>33</v>
      </c>
      <c r="D25" s="26" t="s">
        <v>34</v>
      </c>
      <c r="E25" s="26" t="s">
        <v>35</v>
      </c>
      <c r="F25" s="27" t="n">
        <v>2120</v>
      </c>
      <c r="G25" s="28" t="n">
        <v>45149</v>
      </c>
      <c r="H25" s="26" t="s">
        <v>30</v>
      </c>
      <c r="I25" s="26" t="n">
        <v>2.5</v>
      </c>
      <c r="J25" s="28"/>
    </row>
    <row r="26" customFormat="false" ht="15" hidden="false" customHeight="false" outlineLevel="0" collapsed="false">
      <c r="A26" s="26" t="s">
        <v>96</v>
      </c>
      <c r="B26" s="26" t="s">
        <v>97</v>
      </c>
      <c r="C26" s="26" t="s">
        <v>98</v>
      </c>
      <c r="D26" s="26" t="s">
        <v>99</v>
      </c>
      <c r="E26" s="26" t="s">
        <v>40</v>
      </c>
      <c r="F26" s="27" t="n">
        <v>3680</v>
      </c>
      <c r="G26" s="28" t="n">
        <v>45180</v>
      </c>
      <c r="H26" s="26" t="s">
        <v>30</v>
      </c>
      <c r="I26" s="26" t="n">
        <v>3.8</v>
      </c>
      <c r="J26" s="28"/>
    </row>
    <row r="27" customFormat="false" ht="15" hidden="false" customHeight="false" outlineLevel="0" collapsed="false">
      <c r="A27" s="26" t="s">
        <v>100</v>
      </c>
      <c r="B27" s="26" t="s">
        <v>101</v>
      </c>
      <c r="C27" s="26" t="s">
        <v>27</v>
      </c>
      <c r="D27" s="26" t="s">
        <v>44</v>
      </c>
      <c r="E27" s="26" t="s">
        <v>40</v>
      </c>
      <c r="F27" s="27" t="n">
        <v>3560</v>
      </c>
      <c r="G27" s="28" t="n">
        <v>45219</v>
      </c>
      <c r="H27" s="26" t="s">
        <v>30</v>
      </c>
      <c r="I27" s="26" t="n">
        <v>3.9</v>
      </c>
      <c r="J27" s="28"/>
    </row>
    <row r="28" customFormat="false" ht="15" hidden="false" customHeight="false" outlineLevel="0" collapsed="false">
      <c r="A28" s="26" t="s">
        <v>102</v>
      </c>
      <c r="B28" s="26" t="s">
        <v>103</v>
      </c>
      <c r="C28" s="26" t="s">
        <v>65</v>
      </c>
      <c r="D28" s="26" t="s">
        <v>75</v>
      </c>
      <c r="E28" s="26" t="s">
        <v>62</v>
      </c>
      <c r="F28" s="27" t="n">
        <v>2870</v>
      </c>
      <c r="G28" s="28" t="n">
        <v>45240</v>
      </c>
      <c r="H28" s="26" t="s">
        <v>30</v>
      </c>
      <c r="I28" s="26" t="n">
        <v>3.5</v>
      </c>
      <c r="J28" s="28"/>
    </row>
    <row r="29" customFormat="false" ht="15" hidden="false" customHeight="false" outlineLevel="0" collapsed="false">
      <c r="A29" s="26" t="s">
        <v>104</v>
      </c>
      <c r="B29" s="26" t="s">
        <v>105</v>
      </c>
      <c r="C29" s="26" t="s">
        <v>38</v>
      </c>
      <c r="D29" s="26" t="s">
        <v>78</v>
      </c>
      <c r="E29" s="26" t="s">
        <v>29</v>
      </c>
      <c r="F29" s="27" t="n">
        <v>3470</v>
      </c>
      <c r="G29" s="28" t="n">
        <v>45245</v>
      </c>
      <c r="H29" s="26" t="s">
        <v>30</v>
      </c>
      <c r="I29" s="26" t="n">
        <v>3.6</v>
      </c>
      <c r="J29" s="28"/>
    </row>
    <row r="30" customFormat="false" ht="15" hidden="false" customHeight="false" outlineLevel="0" collapsed="false">
      <c r="A30" s="26" t="s">
        <v>106</v>
      </c>
      <c r="B30" s="26" t="s">
        <v>107</v>
      </c>
      <c r="C30" s="26" t="s">
        <v>65</v>
      </c>
      <c r="D30" s="26" t="s">
        <v>91</v>
      </c>
      <c r="E30" s="26" t="s">
        <v>35</v>
      </c>
      <c r="F30" s="27" t="n">
        <v>3140</v>
      </c>
      <c r="G30" s="28" t="n">
        <v>45257</v>
      </c>
      <c r="H30" s="26" t="s">
        <v>30</v>
      </c>
      <c r="I30" s="26" t="n">
        <v>3.5</v>
      </c>
      <c r="J30" s="28"/>
    </row>
    <row r="31" customFormat="false" ht="15" hidden="false" customHeight="false" outlineLevel="0" collapsed="false">
      <c r="A31" s="26" t="s">
        <v>108</v>
      </c>
      <c r="B31" s="26" t="s">
        <v>109</v>
      </c>
      <c r="C31" s="26" t="s">
        <v>38</v>
      </c>
      <c r="D31" s="26" t="s">
        <v>78</v>
      </c>
      <c r="E31" s="26" t="s">
        <v>29</v>
      </c>
      <c r="F31" s="27" t="n">
        <v>3880</v>
      </c>
      <c r="G31" s="28" t="n">
        <v>45262</v>
      </c>
      <c r="H31" s="26" t="s">
        <v>30</v>
      </c>
      <c r="I31" s="26" t="n">
        <v>3.9</v>
      </c>
      <c r="J31" s="28"/>
    </row>
    <row r="32" customFormat="false" ht="15" hidden="false" customHeight="false" outlineLevel="0" collapsed="false">
      <c r="A32" s="26" t="s">
        <v>110</v>
      </c>
      <c r="B32" s="26" t="s">
        <v>111</v>
      </c>
      <c r="C32" s="26" t="s">
        <v>65</v>
      </c>
      <c r="D32" s="26" t="s">
        <v>75</v>
      </c>
      <c r="E32" s="26" t="s">
        <v>62</v>
      </c>
      <c r="F32" s="27" t="n">
        <v>2640</v>
      </c>
      <c r="G32" s="28" t="n">
        <v>45274</v>
      </c>
      <c r="H32" s="26" t="s">
        <v>30</v>
      </c>
      <c r="I32" s="26" t="n">
        <v>3.2</v>
      </c>
      <c r="J32" s="28"/>
    </row>
    <row r="33" customFormat="false" ht="15" hidden="false" customHeight="false" outlineLevel="0" collapsed="false">
      <c r="A33" s="26" t="s">
        <v>112</v>
      </c>
      <c r="B33" s="26" t="s">
        <v>113</v>
      </c>
      <c r="C33" s="26" t="s">
        <v>65</v>
      </c>
      <c r="D33" s="26" t="s">
        <v>91</v>
      </c>
      <c r="E33" s="26" t="s">
        <v>35</v>
      </c>
      <c r="F33" s="27" t="n">
        <v>3510</v>
      </c>
      <c r="G33" s="28" t="n">
        <v>45279</v>
      </c>
      <c r="H33" s="26" t="s">
        <v>30</v>
      </c>
      <c r="I33" s="26" t="n">
        <v>3.8</v>
      </c>
      <c r="J33" s="28"/>
    </row>
    <row r="34" customFormat="false" ht="15" hidden="false" customHeight="false" outlineLevel="0" collapsed="false">
      <c r="A34" s="26" t="s">
        <v>114</v>
      </c>
      <c r="B34" s="26" t="s">
        <v>115</v>
      </c>
      <c r="C34" s="26" t="s">
        <v>27</v>
      </c>
      <c r="D34" s="26" t="s">
        <v>44</v>
      </c>
      <c r="E34" s="26" t="s">
        <v>40</v>
      </c>
      <c r="F34" s="27" t="n">
        <v>3270</v>
      </c>
      <c r="G34" s="28" t="n">
        <v>45292</v>
      </c>
      <c r="H34" s="26" t="s">
        <v>30</v>
      </c>
      <c r="I34" s="26" t="n">
        <v>3.6</v>
      </c>
      <c r="J34" s="28"/>
    </row>
    <row r="35" customFormat="false" ht="15" hidden="false" customHeight="false" outlineLevel="0" collapsed="false">
      <c r="A35" s="26" t="s">
        <v>116</v>
      </c>
      <c r="B35" s="26" t="s">
        <v>117</v>
      </c>
      <c r="C35" s="26" t="s">
        <v>38</v>
      </c>
      <c r="D35" s="26" t="s">
        <v>78</v>
      </c>
      <c r="E35" s="26" t="s">
        <v>29</v>
      </c>
      <c r="F35" s="27" t="n">
        <v>4390</v>
      </c>
      <c r="G35" s="28" t="n">
        <v>45315</v>
      </c>
      <c r="H35" s="26" t="s">
        <v>30</v>
      </c>
      <c r="I35" s="26" t="n">
        <v>4.6</v>
      </c>
      <c r="J35" s="28"/>
    </row>
    <row r="36" customFormat="false" ht="15" hidden="false" customHeight="false" outlineLevel="0" collapsed="false">
      <c r="A36" s="26" t="s">
        <v>118</v>
      </c>
      <c r="B36" s="26" t="s">
        <v>119</v>
      </c>
      <c r="C36" s="26" t="s">
        <v>98</v>
      </c>
      <c r="D36" s="26" t="s">
        <v>99</v>
      </c>
      <c r="E36" s="26" t="s">
        <v>40</v>
      </c>
      <c r="F36" s="27" t="n">
        <v>3680</v>
      </c>
      <c r="G36" s="28" t="n">
        <v>45319</v>
      </c>
      <c r="H36" s="26" t="s">
        <v>41</v>
      </c>
      <c r="I36" s="26" t="n">
        <v>3.7</v>
      </c>
      <c r="J36" s="28"/>
    </row>
    <row r="37" customFormat="false" ht="15" hidden="false" customHeight="false" outlineLevel="0" collapsed="false">
      <c r="A37" s="26" t="s">
        <v>120</v>
      </c>
      <c r="B37" s="26" t="s">
        <v>121</v>
      </c>
      <c r="C37" s="26" t="s">
        <v>33</v>
      </c>
      <c r="D37" s="26" t="s">
        <v>69</v>
      </c>
      <c r="E37" s="26" t="s">
        <v>35</v>
      </c>
      <c r="F37" s="27" t="n">
        <v>2860</v>
      </c>
      <c r="G37" s="28" t="n">
        <v>45336</v>
      </c>
      <c r="H37" s="26" t="s">
        <v>30</v>
      </c>
      <c r="I37" s="26" t="n">
        <v>3.4</v>
      </c>
      <c r="J37" s="28"/>
    </row>
    <row r="38" customFormat="false" ht="15" hidden="false" customHeight="false" outlineLevel="0" collapsed="false">
      <c r="A38" s="26" t="s">
        <v>122</v>
      </c>
      <c r="B38" s="26" t="s">
        <v>123</v>
      </c>
      <c r="C38" s="26" t="s">
        <v>98</v>
      </c>
      <c r="D38" s="26" t="s">
        <v>99</v>
      </c>
      <c r="E38" s="26" t="s">
        <v>40</v>
      </c>
      <c r="F38" s="27" t="n">
        <v>3870</v>
      </c>
      <c r="G38" s="28" t="n">
        <v>45370</v>
      </c>
      <c r="H38" s="26" t="s">
        <v>30</v>
      </c>
      <c r="I38" s="26" t="n">
        <v>3.9</v>
      </c>
      <c r="J38" s="28"/>
    </row>
    <row r="39" customFormat="false" ht="15" hidden="false" customHeight="false" outlineLevel="0" collapsed="false">
      <c r="A39" s="26" t="s">
        <v>124</v>
      </c>
      <c r="B39" s="26" t="s">
        <v>125</v>
      </c>
      <c r="C39" s="26" t="s">
        <v>98</v>
      </c>
      <c r="D39" s="26" t="s">
        <v>126</v>
      </c>
      <c r="E39" s="26" t="s">
        <v>35</v>
      </c>
      <c r="F39" s="27" t="n">
        <v>2560</v>
      </c>
      <c r="G39" s="28" t="n">
        <v>45370</v>
      </c>
      <c r="H39" s="26" t="s">
        <v>30</v>
      </c>
      <c r="I39" s="26" t="n">
        <v>2.5</v>
      </c>
      <c r="J39" s="28"/>
    </row>
    <row r="40" customFormat="false" ht="15" hidden="false" customHeight="false" outlineLevel="0" collapsed="false">
      <c r="A40" s="26" t="s">
        <v>127</v>
      </c>
      <c r="B40" s="26" t="s">
        <v>128</v>
      </c>
      <c r="C40" s="26" t="s">
        <v>38</v>
      </c>
      <c r="D40" s="26" t="s">
        <v>47</v>
      </c>
      <c r="E40" s="26" t="s">
        <v>29</v>
      </c>
      <c r="F40" s="27" t="n">
        <v>4050</v>
      </c>
      <c r="G40" s="28" t="n">
        <v>45402</v>
      </c>
      <c r="H40" s="26" t="s">
        <v>30</v>
      </c>
      <c r="I40" s="26" t="n">
        <v>4.2</v>
      </c>
      <c r="J40" s="28"/>
    </row>
    <row r="41" customFormat="false" ht="15" hidden="false" customHeight="false" outlineLevel="0" collapsed="false">
      <c r="A41" s="26" t="s">
        <v>129</v>
      </c>
      <c r="B41" s="26" t="s">
        <v>130</v>
      </c>
      <c r="C41" s="26" t="s">
        <v>33</v>
      </c>
      <c r="D41" s="26" t="s">
        <v>131</v>
      </c>
      <c r="E41" s="26" t="s">
        <v>29</v>
      </c>
      <c r="F41" s="27" t="n">
        <v>2970</v>
      </c>
      <c r="G41" s="28" t="n">
        <v>45413</v>
      </c>
      <c r="H41" s="26" t="s">
        <v>30</v>
      </c>
      <c r="I41" s="26" t="n">
        <v>3.6</v>
      </c>
      <c r="J41" s="28"/>
    </row>
    <row r="42" customFormat="false" ht="15" hidden="false" customHeight="false" outlineLevel="0" collapsed="false">
      <c r="A42" s="26" t="s">
        <v>132</v>
      </c>
      <c r="B42" s="26" t="s">
        <v>133</v>
      </c>
      <c r="C42" s="26" t="s">
        <v>38</v>
      </c>
      <c r="D42" s="26" t="s">
        <v>61</v>
      </c>
      <c r="E42" s="26" t="s">
        <v>62</v>
      </c>
      <c r="F42" s="27" t="n">
        <v>2420</v>
      </c>
      <c r="G42" s="28" t="n">
        <v>45419</v>
      </c>
      <c r="H42" s="26" t="s">
        <v>30</v>
      </c>
      <c r="I42" s="26" t="n">
        <v>2.6</v>
      </c>
      <c r="J42" s="28"/>
    </row>
    <row r="43" customFormat="false" ht="15" hidden="false" customHeight="false" outlineLevel="0" collapsed="false">
      <c r="A43" s="26" t="s">
        <v>134</v>
      </c>
      <c r="B43" s="26" t="s">
        <v>135</v>
      </c>
      <c r="C43" s="26" t="s">
        <v>38</v>
      </c>
      <c r="D43" s="26" t="s">
        <v>47</v>
      </c>
      <c r="E43" s="26" t="s">
        <v>29</v>
      </c>
      <c r="F43" s="27" t="n">
        <v>3590</v>
      </c>
      <c r="G43" s="28" t="n">
        <v>45420</v>
      </c>
      <c r="H43" s="26" t="s">
        <v>30</v>
      </c>
      <c r="I43" s="26" t="n">
        <v>3.6</v>
      </c>
      <c r="J43" s="28"/>
    </row>
    <row r="44" customFormat="false" ht="15" hidden="false" customHeight="false" outlineLevel="0" collapsed="false">
      <c r="A44" s="26" t="s">
        <v>136</v>
      </c>
      <c r="B44" s="26" t="s">
        <v>137</v>
      </c>
      <c r="C44" s="26" t="s">
        <v>65</v>
      </c>
      <c r="D44" s="26" t="s">
        <v>75</v>
      </c>
      <c r="E44" s="26" t="s">
        <v>62</v>
      </c>
      <c r="F44" s="27" t="n">
        <v>3250</v>
      </c>
      <c r="G44" s="28" t="n">
        <v>45424</v>
      </c>
      <c r="H44" s="26" t="s">
        <v>30</v>
      </c>
      <c r="I44" s="26" t="n">
        <v>3.9</v>
      </c>
      <c r="J44" s="28"/>
    </row>
    <row r="45" customFormat="false" ht="15" hidden="false" customHeight="false" outlineLevel="0" collapsed="false">
      <c r="A45" s="26" t="s">
        <v>138</v>
      </c>
      <c r="B45" s="26" t="s">
        <v>139</v>
      </c>
      <c r="C45" s="26" t="s">
        <v>65</v>
      </c>
      <c r="D45" s="26" t="s">
        <v>91</v>
      </c>
      <c r="E45" s="26" t="s">
        <v>35</v>
      </c>
      <c r="F45" s="27" t="n">
        <v>3360</v>
      </c>
      <c r="G45" s="28" t="n">
        <v>45424</v>
      </c>
      <c r="H45" s="26" t="s">
        <v>30</v>
      </c>
      <c r="I45" s="26" t="n">
        <v>3.7</v>
      </c>
      <c r="J45" s="28"/>
    </row>
    <row r="46" customFormat="false" ht="15" hidden="false" customHeight="false" outlineLevel="0" collapsed="false">
      <c r="A46" s="26" t="s">
        <v>140</v>
      </c>
      <c r="B46" s="26" t="s">
        <v>141</v>
      </c>
      <c r="C46" s="26" t="s">
        <v>98</v>
      </c>
      <c r="D46" s="26" t="s">
        <v>142</v>
      </c>
      <c r="E46" s="26" t="s">
        <v>29</v>
      </c>
      <c r="F46" s="27" t="n">
        <v>3160</v>
      </c>
      <c r="G46" s="28" t="n">
        <v>45427</v>
      </c>
      <c r="H46" s="26" t="s">
        <v>30</v>
      </c>
      <c r="I46" s="26" t="n">
        <v>3.5</v>
      </c>
      <c r="J46" s="28"/>
    </row>
    <row r="47" customFormat="false" ht="15" hidden="false" customHeight="false" outlineLevel="0" collapsed="false">
      <c r="A47" s="26" t="s">
        <v>143</v>
      </c>
      <c r="B47" s="26" t="s">
        <v>144</v>
      </c>
      <c r="C47" s="26" t="s">
        <v>38</v>
      </c>
      <c r="D47" s="26" t="s">
        <v>39</v>
      </c>
      <c r="E47" s="26" t="s">
        <v>40</v>
      </c>
      <c r="F47" s="27" t="n">
        <v>4130</v>
      </c>
      <c r="G47" s="28" t="n">
        <v>45436</v>
      </c>
      <c r="H47" s="26" t="s">
        <v>30</v>
      </c>
      <c r="I47" s="26" t="n">
        <v>3.9</v>
      </c>
      <c r="J47" s="28"/>
    </row>
    <row r="48" customFormat="false" ht="15" hidden="false" customHeight="false" outlineLevel="0" collapsed="false">
      <c r="A48" s="26" t="s">
        <v>145</v>
      </c>
      <c r="B48" s="26" t="s">
        <v>146</v>
      </c>
      <c r="C48" s="26" t="s">
        <v>38</v>
      </c>
      <c r="D48" s="26" t="s">
        <v>39</v>
      </c>
      <c r="E48" s="26" t="s">
        <v>40</v>
      </c>
      <c r="F48" s="27" t="n">
        <v>3510</v>
      </c>
      <c r="G48" s="28" t="n">
        <v>45444</v>
      </c>
      <c r="H48" s="26" t="s">
        <v>30</v>
      </c>
      <c r="I48" s="26" t="n">
        <v>3.3</v>
      </c>
      <c r="J48" s="28"/>
    </row>
    <row r="49" customFormat="false" ht="15" hidden="false" customHeight="false" outlineLevel="0" collapsed="false">
      <c r="A49" s="26" t="s">
        <v>147</v>
      </c>
      <c r="B49" s="26" t="s">
        <v>148</v>
      </c>
      <c r="C49" s="26" t="s">
        <v>27</v>
      </c>
      <c r="D49" s="26" t="s">
        <v>72</v>
      </c>
      <c r="E49" s="26" t="s">
        <v>62</v>
      </c>
      <c r="F49" s="27" t="n">
        <v>2920</v>
      </c>
      <c r="G49" s="28" t="n">
        <v>45487</v>
      </c>
      <c r="H49" s="26" t="s">
        <v>30</v>
      </c>
      <c r="I49" s="26" t="n">
        <v>3.4</v>
      </c>
      <c r="J49" s="28"/>
    </row>
    <row r="50" customFormat="false" ht="15" hidden="false" customHeight="false" outlineLevel="0" collapsed="false">
      <c r="A50" s="26" t="s">
        <v>149</v>
      </c>
      <c r="B50" s="26" t="s">
        <v>150</v>
      </c>
      <c r="C50" s="26" t="s">
        <v>98</v>
      </c>
      <c r="D50" s="26" t="s">
        <v>126</v>
      </c>
      <c r="E50" s="26" t="s">
        <v>35</v>
      </c>
      <c r="F50" s="27" t="n">
        <v>4100</v>
      </c>
      <c r="G50" s="28" t="n">
        <v>45500</v>
      </c>
      <c r="H50" s="26" t="s">
        <v>30</v>
      </c>
      <c r="I50" s="26" t="n">
        <v>4.4</v>
      </c>
      <c r="J50" s="28"/>
    </row>
    <row r="51" customFormat="false" ht="15" hidden="false" customHeight="false" outlineLevel="0" collapsed="false">
      <c r="A51" s="26" t="s">
        <v>151</v>
      </c>
      <c r="B51" s="26" t="s">
        <v>152</v>
      </c>
      <c r="C51" s="26" t="s">
        <v>33</v>
      </c>
      <c r="D51" s="26" t="s">
        <v>34</v>
      </c>
      <c r="E51" s="26" t="s">
        <v>35</v>
      </c>
      <c r="F51" s="27" t="n">
        <v>3880</v>
      </c>
      <c r="G51" s="28" t="n">
        <v>45501</v>
      </c>
      <c r="H51" s="26" t="s">
        <v>30</v>
      </c>
      <c r="I51" s="26" t="n">
        <v>4.9</v>
      </c>
      <c r="J51" s="28"/>
    </row>
    <row r="52" customFormat="false" ht="15" hidden="false" customHeight="false" outlineLevel="0" collapsed="false">
      <c r="A52" s="26" t="s">
        <v>153</v>
      </c>
      <c r="B52" s="26" t="s">
        <v>154</v>
      </c>
      <c r="C52" s="26" t="s">
        <v>38</v>
      </c>
      <c r="D52" s="26" t="s">
        <v>50</v>
      </c>
      <c r="E52" s="26" t="s">
        <v>40</v>
      </c>
      <c r="F52" s="27" t="n">
        <v>3740</v>
      </c>
      <c r="G52" s="28" t="n">
        <v>45508</v>
      </c>
      <c r="H52" s="26" t="s">
        <v>30</v>
      </c>
      <c r="I52" s="26" t="n">
        <v>3.5</v>
      </c>
      <c r="J52" s="28"/>
    </row>
    <row r="53" customFormat="false" ht="15" hidden="false" customHeight="false" outlineLevel="0" collapsed="false">
      <c r="A53" s="26" t="s">
        <v>155</v>
      </c>
      <c r="B53" s="26" t="s">
        <v>156</v>
      </c>
      <c r="C53" s="26" t="s">
        <v>98</v>
      </c>
      <c r="D53" s="26" t="s">
        <v>99</v>
      </c>
      <c r="E53" s="26" t="s">
        <v>40</v>
      </c>
      <c r="F53" s="27" t="n">
        <v>4380</v>
      </c>
      <c r="G53" s="28" t="n">
        <v>45512</v>
      </c>
      <c r="H53" s="26" t="s">
        <v>30</v>
      </c>
      <c r="I53" s="26" t="n">
        <v>4.4</v>
      </c>
      <c r="J53" s="28"/>
    </row>
    <row r="54" customFormat="false" ht="15" hidden="false" customHeight="false" outlineLevel="0" collapsed="false">
      <c r="A54" s="26" t="s">
        <v>157</v>
      </c>
      <c r="B54" s="26" t="s">
        <v>158</v>
      </c>
      <c r="C54" s="26" t="s">
        <v>33</v>
      </c>
      <c r="D54" s="26" t="s">
        <v>131</v>
      </c>
      <c r="E54" s="26" t="s">
        <v>29</v>
      </c>
      <c r="F54" s="27" t="n">
        <v>3170</v>
      </c>
      <c r="G54" s="28" t="n">
        <v>45542</v>
      </c>
      <c r="H54" s="26" t="s">
        <v>30</v>
      </c>
      <c r="I54" s="26" t="n">
        <v>4</v>
      </c>
      <c r="J54" s="28"/>
    </row>
    <row r="55" customFormat="false" ht="15" hidden="false" customHeight="false" outlineLevel="0" collapsed="false">
      <c r="A55" s="26" t="s">
        <v>159</v>
      </c>
      <c r="B55" s="26" t="s">
        <v>160</v>
      </c>
      <c r="C55" s="26" t="s">
        <v>27</v>
      </c>
      <c r="D55" s="26" t="s">
        <v>72</v>
      </c>
      <c r="E55" s="26" t="s">
        <v>62</v>
      </c>
      <c r="F55" s="27" t="n">
        <v>2990</v>
      </c>
      <c r="G55" s="28" t="n">
        <v>45548</v>
      </c>
      <c r="H55" s="26" t="s">
        <v>30</v>
      </c>
      <c r="I55" s="26" t="n">
        <v>3.8</v>
      </c>
      <c r="J55" s="28"/>
    </row>
    <row r="56" customFormat="false" ht="15" hidden="false" customHeight="false" outlineLevel="0" collapsed="false">
      <c r="A56" s="26" t="s">
        <v>161</v>
      </c>
      <c r="B56" s="26" t="s">
        <v>162</v>
      </c>
      <c r="C56" s="26" t="s">
        <v>38</v>
      </c>
      <c r="D56" s="26" t="s">
        <v>78</v>
      </c>
      <c r="E56" s="26" t="s">
        <v>29</v>
      </c>
      <c r="F56" s="27" t="n">
        <v>4030</v>
      </c>
      <c r="G56" s="28" t="n">
        <v>45549</v>
      </c>
      <c r="H56" s="26" t="s">
        <v>30</v>
      </c>
      <c r="I56" s="26" t="n">
        <v>4.2</v>
      </c>
      <c r="J56" s="28"/>
    </row>
    <row r="57" customFormat="false" ht="15" hidden="false" customHeight="false" outlineLevel="0" collapsed="false">
      <c r="A57" s="26" t="s">
        <v>163</v>
      </c>
      <c r="B57" s="26" t="s">
        <v>164</v>
      </c>
      <c r="C57" s="26" t="s">
        <v>33</v>
      </c>
      <c r="D57" s="26" t="s">
        <v>131</v>
      </c>
      <c r="E57" s="26" t="s">
        <v>29</v>
      </c>
      <c r="F57" s="27" t="n">
        <v>2690</v>
      </c>
      <c r="G57" s="28" t="n">
        <v>45566</v>
      </c>
      <c r="H57" s="26" t="s">
        <v>30</v>
      </c>
      <c r="I57" s="26" t="n">
        <v>3.1</v>
      </c>
      <c r="J57" s="28"/>
    </row>
    <row r="58" customFormat="false" ht="15" hidden="false" customHeight="false" outlineLevel="0" collapsed="false">
      <c r="A58" s="26" t="s">
        <v>165</v>
      </c>
      <c r="B58" s="26" t="s">
        <v>166</v>
      </c>
      <c r="C58" s="26" t="s">
        <v>98</v>
      </c>
      <c r="D58" s="26" t="s">
        <v>99</v>
      </c>
      <c r="E58" s="26" t="s">
        <v>40</v>
      </c>
      <c r="F58" s="27" t="n">
        <v>2960</v>
      </c>
      <c r="G58" s="28" t="n">
        <v>45573</v>
      </c>
      <c r="H58" s="26" t="s">
        <v>30</v>
      </c>
      <c r="I58" s="26" t="n">
        <v>2.9</v>
      </c>
      <c r="J58" s="28"/>
    </row>
    <row r="59" customFormat="false" ht="15" hidden="false" customHeight="false" outlineLevel="0" collapsed="false">
      <c r="A59" s="26" t="s">
        <v>167</v>
      </c>
      <c r="B59" s="26" t="s">
        <v>168</v>
      </c>
      <c r="C59" s="26" t="s">
        <v>65</v>
      </c>
      <c r="D59" s="26" t="s">
        <v>66</v>
      </c>
      <c r="E59" s="26" t="s">
        <v>29</v>
      </c>
      <c r="F59" s="27" t="n">
        <v>3610</v>
      </c>
      <c r="G59" s="28" t="n">
        <v>45581</v>
      </c>
      <c r="H59" s="26" t="s">
        <v>30</v>
      </c>
      <c r="I59" s="26" t="n">
        <v>4.3</v>
      </c>
      <c r="J59" s="28"/>
    </row>
    <row r="60" customFormat="false" ht="15" hidden="false" customHeight="false" outlineLevel="0" collapsed="false">
      <c r="A60" s="26" t="s">
        <v>169</v>
      </c>
      <c r="B60" s="26" t="s">
        <v>170</v>
      </c>
      <c r="C60" s="26" t="s">
        <v>65</v>
      </c>
      <c r="D60" s="26" t="s">
        <v>91</v>
      </c>
      <c r="E60" s="26" t="s">
        <v>35</v>
      </c>
      <c r="F60" s="27" t="n">
        <v>3460</v>
      </c>
      <c r="G60" s="28" t="n">
        <v>45601</v>
      </c>
      <c r="H60" s="26" t="s">
        <v>30</v>
      </c>
      <c r="I60" s="26" t="n">
        <v>3.7</v>
      </c>
      <c r="J60" s="28"/>
    </row>
    <row r="61" customFormat="false" ht="15" hidden="false" customHeight="false" outlineLevel="0" collapsed="false">
      <c r="A61" s="26" t="s">
        <v>171</v>
      </c>
      <c r="B61" s="26" t="s">
        <v>172</v>
      </c>
      <c r="C61" s="26" t="s">
        <v>65</v>
      </c>
      <c r="D61" s="26" t="s">
        <v>173</v>
      </c>
      <c r="E61" s="26" t="s">
        <v>29</v>
      </c>
      <c r="F61" s="27" t="n">
        <v>3820</v>
      </c>
      <c r="G61" s="28" t="n">
        <v>45603</v>
      </c>
      <c r="H61" s="26" t="s">
        <v>41</v>
      </c>
      <c r="I61" s="26" t="n">
        <v>4.5</v>
      </c>
      <c r="J61" s="28"/>
    </row>
    <row r="62" customFormat="false" ht="15" hidden="false" customHeight="false" outlineLevel="0" collapsed="false">
      <c r="A62" s="26" t="s">
        <v>174</v>
      </c>
      <c r="B62" s="26" t="s">
        <v>175</v>
      </c>
      <c r="C62" s="26" t="s">
        <v>38</v>
      </c>
      <c r="D62" s="26" t="s">
        <v>39</v>
      </c>
      <c r="E62" s="26" t="s">
        <v>40</v>
      </c>
      <c r="F62" s="27" t="n">
        <v>4570</v>
      </c>
      <c r="G62" s="28" t="n">
        <v>45658</v>
      </c>
      <c r="H62" s="26" t="s">
        <v>30</v>
      </c>
      <c r="I62" s="26" t="n">
        <v>4.3</v>
      </c>
      <c r="J62" s="28"/>
    </row>
    <row r="63" customFormat="false" ht="15" hidden="false" customHeight="false" outlineLevel="0" collapsed="false">
      <c r="A63" s="26" t="s">
        <v>176</v>
      </c>
      <c r="B63" s="26" t="s">
        <v>177</v>
      </c>
      <c r="C63" s="26" t="s">
        <v>27</v>
      </c>
      <c r="D63" s="26" t="s">
        <v>72</v>
      </c>
      <c r="E63" s="26" t="s">
        <v>62</v>
      </c>
      <c r="F63" s="27" t="n">
        <v>2530</v>
      </c>
      <c r="G63" s="28" t="n">
        <v>45682</v>
      </c>
      <c r="H63" s="26" t="s">
        <v>30</v>
      </c>
      <c r="I63" s="26" t="n">
        <v>3.2</v>
      </c>
      <c r="J63" s="28"/>
    </row>
    <row r="64" customFormat="false" ht="15" hidden="false" customHeight="false" outlineLevel="0" collapsed="false">
      <c r="A64" s="26" t="s">
        <v>178</v>
      </c>
      <c r="B64" s="26" t="s">
        <v>179</v>
      </c>
      <c r="C64" s="26" t="s">
        <v>65</v>
      </c>
      <c r="D64" s="26" t="s">
        <v>91</v>
      </c>
      <c r="E64" s="26" t="s">
        <v>35</v>
      </c>
      <c r="F64" s="27" t="n">
        <v>2600</v>
      </c>
      <c r="G64" s="28" t="n">
        <v>45690</v>
      </c>
      <c r="H64" s="26" t="s">
        <v>41</v>
      </c>
      <c r="I64" s="26" t="n">
        <v>2.9</v>
      </c>
      <c r="J64" s="28"/>
    </row>
    <row r="65" customFormat="false" ht="15" hidden="false" customHeight="false" outlineLevel="0" collapsed="false">
      <c r="A65" s="26" t="s">
        <v>180</v>
      </c>
      <c r="B65" s="26" t="s">
        <v>181</v>
      </c>
      <c r="C65" s="26" t="s">
        <v>98</v>
      </c>
      <c r="D65" s="26" t="s">
        <v>142</v>
      </c>
      <c r="E65" s="26" t="s">
        <v>29</v>
      </c>
      <c r="F65" s="27" t="n">
        <v>4330</v>
      </c>
      <c r="G65" s="28" t="n">
        <v>45708</v>
      </c>
      <c r="H65" s="26" t="s">
        <v>30</v>
      </c>
      <c r="I65" s="26" t="n">
        <v>4.7</v>
      </c>
      <c r="J65" s="28"/>
    </row>
    <row r="66" customFormat="false" ht="15" hidden="false" customHeight="false" outlineLevel="0" collapsed="false">
      <c r="A66" s="26" t="s">
        <v>182</v>
      </c>
      <c r="B66" s="26" t="s">
        <v>183</v>
      </c>
      <c r="C66" s="26" t="s">
        <v>38</v>
      </c>
      <c r="D66" s="26" t="s">
        <v>78</v>
      </c>
      <c r="E66" s="26" t="s">
        <v>29</v>
      </c>
      <c r="F66" s="27" t="n">
        <v>3760</v>
      </c>
      <c r="G66" s="28" t="n">
        <v>45727</v>
      </c>
      <c r="H66" s="26" t="s">
        <v>30</v>
      </c>
      <c r="I66" s="26" t="n">
        <v>3.9</v>
      </c>
      <c r="J66" s="28"/>
    </row>
    <row r="67" customFormat="false" ht="15" hidden="false" customHeight="false" outlineLevel="0" collapsed="false">
      <c r="A67" s="26" t="s">
        <v>184</v>
      </c>
      <c r="B67" s="26" t="s">
        <v>185</v>
      </c>
      <c r="C67" s="26" t="s">
        <v>38</v>
      </c>
      <c r="D67" s="26" t="s">
        <v>50</v>
      </c>
      <c r="E67" s="26" t="s">
        <v>40</v>
      </c>
      <c r="F67" s="27" t="n">
        <v>4640</v>
      </c>
      <c r="G67" s="28" t="n">
        <v>45734</v>
      </c>
      <c r="H67" s="26" t="s">
        <v>30</v>
      </c>
      <c r="I67" s="26" t="n">
        <v>4.4</v>
      </c>
      <c r="J67" s="28"/>
    </row>
    <row r="68" customFormat="false" ht="15" hidden="false" customHeight="false" outlineLevel="0" collapsed="false">
      <c r="A68" s="26" t="s">
        <v>186</v>
      </c>
      <c r="B68" s="26" t="s">
        <v>187</v>
      </c>
      <c r="C68" s="26" t="s">
        <v>65</v>
      </c>
      <c r="D68" s="26" t="s">
        <v>75</v>
      </c>
      <c r="E68" s="26" t="s">
        <v>62</v>
      </c>
      <c r="F68" s="27" t="n">
        <v>2440</v>
      </c>
      <c r="G68" s="28" t="n">
        <v>45742</v>
      </c>
      <c r="H68" s="26" t="s">
        <v>30</v>
      </c>
      <c r="I68" s="26" t="n">
        <v>2.9</v>
      </c>
      <c r="J68" s="28"/>
    </row>
    <row r="69" customFormat="false" ht="15" hidden="false" customHeight="false" outlineLevel="0" collapsed="false">
      <c r="A69" s="26" t="s">
        <v>188</v>
      </c>
      <c r="B69" s="26" t="s">
        <v>189</v>
      </c>
      <c r="C69" s="26" t="s">
        <v>98</v>
      </c>
      <c r="D69" s="26" t="s">
        <v>190</v>
      </c>
      <c r="E69" s="26" t="s">
        <v>35</v>
      </c>
      <c r="F69" s="27" t="n">
        <v>3110</v>
      </c>
      <c r="G69" s="28" t="n">
        <v>45751</v>
      </c>
      <c r="H69" s="26" t="s">
        <v>30</v>
      </c>
      <c r="I69" s="26" t="n">
        <v>3.2</v>
      </c>
      <c r="J69" s="28"/>
    </row>
    <row r="70" customFormat="false" ht="15" hidden="false" customHeight="false" outlineLevel="0" collapsed="false">
      <c r="A70" s="26" t="s">
        <v>191</v>
      </c>
      <c r="B70" s="26" t="s">
        <v>192</v>
      </c>
      <c r="C70" s="26" t="s">
        <v>33</v>
      </c>
      <c r="D70" s="26" t="s">
        <v>131</v>
      </c>
      <c r="E70" s="26" t="s">
        <v>29</v>
      </c>
      <c r="F70" s="27" t="n">
        <v>3380</v>
      </c>
      <c r="G70" s="28" t="n">
        <v>45758</v>
      </c>
      <c r="H70" s="26" t="s">
        <v>30</v>
      </c>
      <c r="I70" s="26" t="n">
        <v>4.3</v>
      </c>
      <c r="J70" s="28"/>
    </row>
    <row r="71" customFormat="false" ht="15" hidden="false" customHeight="false" outlineLevel="0" collapsed="false">
      <c r="A71" s="26" t="s">
        <v>193</v>
      </c>
      <c r="B71" s="26" t="s">
        <v>194</v>
      </c>
      <c r="C71" s="26" t="s">
        <v>33</v>
      </c>
      <c r="D71" s="26" t="s">
        <v>69</v>
      </c>
      <c r="E71" s="26" t="s">
        <v>35</v>
      </c>
      <c r="F71" s="27" t="n">
        <v>2940</v>
      </c>
      <c r="G71" s="28" t="n">
        <v>45790</v>
      </c>
      <c r="H71" s="26" t="s">
        <v>30</v>
      </c>
      <c r="I71" s="26" t="n">
        <v>3.5</v>
      </c>
      <c r="J71" s="28"/>
    </row>
    <row r="72" customFormat="false" ht="15" hidden="false" customHeight="false" outlineLevel="0" collapsed="false">
      <c r="A72" s="26" t="s">
        <v>195</v>
      </c>
      <c r="B72" s="26" t="s">
        <v>196</v>
      </c>
      <c r="C72" s="26" t="s">
        <v>38</v>
      </c>
      <c r="D72" s="26" t="s">
        <v>78</v>
      </c>
      <c r="E72" s="26" t="s">
        <v>29</v>
      </c>
      <c r="F72" s="27" t="n">
        <v>4560</v>
      </c>
      <c r="G72" s="28" t="n">
        <v>45809</v>
      </c>
      <c r="H72" s="26" t="s">
        <v>30</v>
      </c>
      <c r="I72" s="26" t="n">
        <v>4.8</v>
      </c>
      <c r="J72" s="28"/>
    </row>
    <row r="73" customFormat="false" ht="15" hidden="false" customHeight="false" outlineLevel="0" collapsed="false">
      <c r="A73" s="26" t="s">
        <v>197</v>
      </c>
      <c r="B73" s="26" t="s">
        <v>198</v>
      </c>
      <c r="C73" s="26" t="s">
        <v>27</v>
      </c>
      <c r="D73" s="26" t="s">
        <v>28</v>
      </c>
      <c r="E73" s="26" t="s">
        <v>29</v>
      </c>
      <c r="F73" s="27" t="n">
        <v>2460</v>
      </c>
      <c r="G73" s="28" t="n">
        <v>45811</v>
      </c>
      <c r="H73" s="26" t="s">
        <v>30</v>
      </c>
      <c r="I73" s="26" t="n">
        <v>2.9</v>
      </c>
      <c r="J73" s="28"/>
    </row>
    <row r="74" customFormat="false" ht="15" hidden="false" customHeight="false" outlineLevel="0" collapsed="false">
      <c r="A74" s="26" t="s">
        <v>199</v>
      </c>
      <c r="B74" s="26" t="s">
        <v>200</v>
      </c>
      <c r="C74" s="26" t="s">
        <v>38</v>
      </c>
      <c r="D74" s="26" t="s">
        <v>50</v>
      </c>
      <c r="E74" s="26" t="s">
        <v>40</v>
      </c>
      <c r="F74" s="27" t="n">
        <v>3550</v>
      </c>
      <c r="G74" s="28" t="n">
        <v>45872</v>
      </c>
      <c r="H74" s="26" t="s">
        <v>30</v>
      </c>
      <c r="I74" s="26" t="n">
        <v>3.3</v>
      </c>
      <c r="J74" s="28"/>
    </row>
    <row r="75" customFormat="false" ht="15" hidden="false" customHeight="false" outlineLevel="0" collapsed="false">
      <c r="A75" s="26" t="s">
        <v>201</v>
      </c>
      <c r="B75" s="26" t="s">
        <v>202</v>
      </c>
      <c r="C75" s="26" t="s">
        <v>33</v>
      </c>
      <c r="D75" s="26" t="s">
        <v>131</v>
      </c>
      <c r="E75" s="26" t="s">
        <v>29</v>
      </c>
      <c r="F75" s="27" t="n">
        <v>3090</v>
      </c>
      <c r="G75" s="28" t="n">
        <v>45937</v>
      </c>
      <c r="H75" s="26" t="s">
        <v>30</v>
      </c>
      <c r="I75" s="26" t="n">
        <v>4</v>
      </c>
      <c r="J75" s="28"/>
    </row>
    <row r="76" customFormat="false" ht="15" hidden="false" customHeight="false" outlineLevel="0" collapsed="false">
      <c r="A76" s="26" t="s">
        <v>203</v>
      </c>
      <c r="B76" s="26" t="s">
        <v>204</v>
      </c>
      <c r="C76" s="26" t="s">
        <v>65</v>
      </c>
      <c r="D76" s="26" t="s">
        <v>75</v>
      </c>
      <c r="E76" s="26" t="s">
        <v>62</v>
      </c>
      <c r="F76" s="27" t="n">
        <v>3250</v>
      </c>
      <c r="G76" s="28" t="n">
        <v>45951</v>
      </c>
      <c r="H76" s="26" t="s">
        <v>30</v>
      </c>
      <c r="I76" s="26" t="n">
        <v>4</v>
      </c>
      <c r="J76" s="28"/>
    </row>
    <row r="77" customFormat="false" ht="15" hidden="false" customHeight="false" outlineLevel="0" collapsed="false">
      <c r="A77" s="26" t="s">
        <v>205</v>
      </c>
      <c r="B77" s="26" t="s">
        <v>206</v>
      </c>
      <c r="C77" s="26" t="s">
        <v>38</v>
      </c>
      <c r="D77" s="26" t="s">
        <v>78</v>
      </c>
      <c r="E77" s="26" t="s">
        <v>29</v>
      </c>
      <c r="F77" s="27" t="n">
        <v>3560</v>
      </c>
      <c r="G77" s="28" t="n">
        <v>45952</v>
      </c>
      <c r="H77" s="26" t="s">
        <v>30</v>
      </c>
      <c r="I77" s="26" t="n">
        <v>3.8</v>
      </c>
      <c r="J77" s="28"/>
    </row>
    <row r="78" customFormat="false" ht="15" hidden="false" customHeight="false" outlineLevel="0" collapsed="false">
      <c r="A78" s="26" t="s">
        <v>207</v>
      </c>
      <c r="B78" s="26" t="s">
        <v>208</v>
      </c>
      <c r="C78" s="26" t="s">
        <v>27</v>
      </c>
      <c r="D78" s="26" t="s">
        <v>28</v>
      </c>
      <c r="E78" s="26" t="s">
        <v>29</v>
      </c>
      <c r="F78" s="27" t="n">
        <v>2830</v>
      </c>
      <c r="G78" s="28" t="n">
        <v>45957</v>
      </c>
      <c r="H78" s="26" t="s">
        <v>30</v>
      </c>
      <c r="I78" s="26" t="n">
        <v>3.4</v>
      </c>
      <c r="J78" s="28"/>
    </row>
    <row r="79" customFormat="false" ht="15" hidden="false" customHeight="false" outlineLevel="0" collapsed="false">
      <c r="A79" s="26" t="s">
        <v>209</v>
      </c>
      <c r="B79" s="26" t="s">
        <v>210</v>
      </c>
      <c r="C79" s="26" t="s">
        <v>38</v>
      </c>
      <c r="D79" s="26" t="s">
        <v>78</v>
      </c>
      <c r="E79" s="26" t="s">
        <v>29</v>
      </c>
      <c r="F79" s="27" t="n">
        <v>3940</v>
      </c>
      <c r="G79" s="28" t="n">
        <v>45963</v>
      </c>
      <c r="H79" s="26" t="s">
        <v>30</v>
      </c>
      <c r="I79" s="26" t="n">
        <v>4</v>
      </c>
      <c r="J79" s="28"/>
    </row>
    <row r="80" customFormat="false" ht="15" hidden="false" customHeight="false" outlineLevel="0" collapsed="false">
      <c r="A80" s="26" t="s">
        <v>211</v>
      </c>
      <c r="B80" s="26" t="s">
        <v>212</v>
      </c>
      <c r="C80" s="26" t="s">
        <v>98</v>
      </c>
      <c r="D80" s="26" t="s">
        <v>142</v>
      </c>
      <c r="E80" s="26" t="s">
        <v>29</v>
      </c>
      <c r="F80" s="27" t="n">
        <v>2120</v>
      </c>
      <c r="G80" s="28" t="n">
        <v>45974</v>
      </c>
      <c r="H80" s="26" t="s">
        <v>30</v>
      </c>
      <c r="I80" s="26" t="n">
        <v>2.1</v>
      </c>
      <c r="J80" s="28"/>
    </row>
    <row r="81" customFormat="false" ht="15" hidden="false" customHeight="false" outlineLevel="0" collapsed="false">
      <c r="A81" s="26" t="s">
        <v>213</v>
      </c>
      <c r="B81" s="26" t="s">
        <v>214</v>
      </c>
      <c r="C81" s="26" t="s">
        <v>65</v>
      </c>
      <c r="D81" s="26" t="s">
        <v>75</v>
      </c>
      <c r="E81" s="26" t="s">
        <v>62</v>
      </c>
      <c r="F81" s="27" t="n">
        <v>2650</v>
      </c>
      <c r="G81" s="28" t="n">
        <v>45976</v>
      </c>
      <c r="H81" s="26" t="s">
        <v>41</v>
      </c>
      <c r="I81" s="26" t="n">
        <v>3.1</v>
      </c>
      <c r="J81" s="28"/>
    </row>
    <row r="82" customFormat="false" ht="15" hidden="false" customHeight="false" outlineLevel="0" collapsed="false">
      <c r="A82" s="26" t="s">
        <v>215</v>
      </c>
      <c r="B82" s="26" t="s">
        <v>216</v>
      </c>
      <c r="C82" s="26" t="s">
        <v>33</v>
      </c>
      <c r="D82" s="26" t="s">
        <v>34</v>
      </c>
      <c r="E82" s="26" t="s">
        <v>35</v>
      </c>
      <c r="F82" s="27" t="n">
        <v>2920</v>
      </c>
      <c r="G82" s="28" t="n">
        <v>46003</v>
      </c>
      <c r="H82" s="26" t="s">
        <v>30</v>
      </c>
      <c r="I82" s="26" t="n">
        <v>3.6</v>
      </c>
      <c r="J82" s="28"/>
    </row>
    <row r="83" customFormat="false" ht="15" hidden="false" customHeight="false" outlineLevel="0" collapsed="false">
      <c r="A83" s="26" t="s">
        <v>217</v>
      </c>
      <c r="B83" s="26" t="s">
        <v>218</v>
      </c>
      <c r="C83" s="26" t="s">
        <v>65</v>
      </c>
      <c r="D83" s="26" t="s">
        <v>173</v>
      </c>
      <c r="E83" s="26" t="s">
        <v>29</v>
      </c>
      <c r="F83" s="27" t="n">
        <v>3110</v>
      </c>
      <c r="G83" s="28" t="n">
        <v>46005</v>
      </c>
      <c r="H83" s="26" t="s">
        <v>30</v>
      </c>
      <c r="I83" s="26" t="n">
        <v>3.2</v>
      </c>
      <c r="J83" s="28"/>
    </row>
    <row r="84" customFormat="false" ht="15" hidden="false" customHeight="false" outlineLevel="0" collapsed="false">
      <c r="A84" s="26" t="s">
        <v>219</v>
      </c>
      <c r="B84" s="26" t="s">
        <v>220</v>
      </c>
      <c r="C84" s="26" t="s">
        <v>65</v>
      </c>
      <c r="D84" s="26" t="s">
        <v>75</v>
      </c>
      <c r="E84" s="26" t="s">
        <v>62</v>
      </c>
      <c r="F84" s="27" t="n">
        <v>2600</v>
      </c>
      <c r="G84" s="28" t="n">
        <v>46019</v>
      </c>
      <c r="H84" s="26" t="s">
        <v>30</v>
      </c>
      <c r="I84" s="26" t="n">
        <v>3</v>
      </c>
      <c r="J84" s="28"/>
    </row>
    <row r="85" customFormat="false" ht="15" hidden="false" customHeight="false" outlineLevel="0" collapsed="false">
      <c r="A85" s="26" t="s">
        <v>221</v>
      </c>
      <c r="B85" s="26" t="s">
        <v>222</v>
      </c>
      <c r="C85" s="26" t="s">
        <v>38</v>
      </c>
      <c r="D85" s="26" t="s">
        <v>39</v>
      </c>
      <c r="E85" s="26" t="s">
        <v>40</v>
      </c>
      <c r="F85" s="27" t="n">
        <v>3800</v>
      </c>
      <c r="G85" s="28" t="n">
        <v>46029</v>
      </c>
      <c r="H85" s="26" t="s">
        <v>30</v>
      </c>
      <c r="I85" s="26" t="n">
        <v>3.4</v>
      </c>
      <c r="J85" s="28"/>
    </row>
    <row r="86" customFormat="false" ht="15" hidden="false" customHeight="false" outlineLevel="0" collapsed="false">
      <c r="A86" s="26" t="s">
        <v>223</v>
      </c>
      <c r="B86" s="26" t="s">
        <v>224</v>
      </c>
      <c r="C86" s="26" t="s">
        <v>65</v>
      </c>
      <c r="D86" s="26" t="s">
        <v>75</v>
      </c>
      <c r="E86" s="26" t="s">
        <v>62</v>
      </c>
      <c r="F86" s="27" t="n">
        <v>3180</v>
      </c>
      <c r="G86" s="28" t="n">
        <v>46031</v>
      </c>
      <c r="H86" s="26" t="s">
        <v>30</v>
      </c>
      <c r="I86" s="26" t="n">
        <v>3.6</v>
      </c>
      <c r="J86" s="28"/>
    </row>
    <row r="87" customFormat="false" ht="15" hidden="false" customHeight="false" outlineLevel="0" collapsed="false">
      <c r="A87" s="26" t="s">
        <v>225</v>
      </c>
      <c r="B87" s="26" t="s">
        <v>226</v>
      </c>
      <c r="C87" s="26" t="s">
        <v>65</v>
      </c>
      <c r="D87" s="26" t="s">
        <v>91</v>
      </c>
      <c r="E87" s="26" t="s">
        <v>35</v>
      </c>
      <c r="F87" s="27" t="n">
        <v>3080</v>
      </c>
      <c r="G87" s="28" t="n">
        <v>46032</v>
      </c>
      <c r="H87" s="26" t="s">
        <v>30</v>
      </c>
      <c r="I87" s="26" t="n">
        <v>3.1</v>
      </c>
      <c r="J87" s="28"/>
    </row>
    <row r="88" customFormat="false" ht="15" hidden="false" customHeight="false" outlineLevel="0" collapsed="false">
      <c r="A88" s="26" t="s">
        <v>227</v>
      </c>
      <c r="B88" s="26" t="s">
        <v>228</v>
      </c>
      <c r="C88" s="26" t="s">
        <v>98</v>
      </c>
      <c r="D88" s="26" t="s">
        <v>190</v>
      </c>
      <c r="E88" s="26" t="s">
        <v>35</v>
      </c>
      <c r="F88" s="27" t="n">
        <v>3020</v>
      </c>
      <c r="G88" s="28" t="n">
        <v>46068</v>
      </c>
      <c r="H88" s="26" t="s">
        <v>41</v>
      </c>
      <c r="I88" s="26" t="n">
        <v>3.1</v>
      </c>
      <c r="J88" s="28"/>
    </row>
    <row r="89" customFormat="false" ht="15" hidden="false" customHeight="false" outlineLevel="0" collapsed="false">
      <c r="A89" s="26" t="s">
        <v>229</v>
      </c>
      <c r="B89" s="26" t="s">
        <v>230</v>
      </c>
      <c r="C89" s="26" t="s">
        <v>65</v>
      </c>
      <c r="D89" s="26" t="s">
        <v>66</v>
      </c>
      <c r="E89" s="26" t="s">
        <v>29</v>
      </c>
      <c r="F89" s="27" t="n">
        <v>4130</v>
      </c>
      <c r="G89" s="28" t="n">
        <v>46073</v>
      </c>
      <c r="H89" s="26" t="s">
        <v>30</v>
      </c>
      <c r="I89" s="26" t="n">
        <v>4.8</v>
      </c>
      <c r="J89" s="28"/>
    </row>
    <row r="90" customFormat="false" ht="15" hidden="false" customHeight="false" outlineLevel="0" collapsed="false">
      <c r="A90" s="26" t="s">
        <v>231</v>
      </c>
      <c r="B90" s="26" t="s">
        <v>232</v>
      </c>
      <c r="C90" s="26" t="s">
        <v>38</v>
      </c>
      <c r="D90" s="26" t="s">
        <v>61</v>
      </c>
      <c r="E90" s="26" t="s">
        <v>62</v>
      </c>
      <c r="F90" s="27" t="n">
        <v>3720</v>
      </c>
      <c r="G90" s="28" t="n">
        <v>46089</v>
      </c>
      <c r="H90" s="26" t="s">
        <v>30</v>
      </c>
      <c r="I90" s="26" t="n">
        <v>4.2</v>
      </c>
      <c r="J90" s="28"/>
    </row>
    <row r="91" customFormat="false" ht="15" hidden="false" customHeight="false" outlineLevel="0" collapsed="false">
      <c r="A91" s="26" t="s">
        <v>233</v>
      </c>
      <c r="B91" s="26" t="s">
        <v>234</v>
      </c>
      <c r="C91" s="26" t="s">
        <v>27</v>
      </c>
      <c r="D91" s="26" t="s">
        <v>72</v>
      </c>
      <c r="E91" s="26" t="s">
        <v>62</v>
      </c>
      <c r="F91" s="27" t="n">
        <v>2860</v>
      </c>
      <c r="G91" s="28" t="n">
        <v>46102</v>
      </c>
      <c r="H91" s="26" t="s">
        <v>30</v>
      </c>
      <c r="I91" s="26" t="n">
        <v>3.5</v>
      </c>
      <c r="J91" s="28"/>
    </row>
    <row r="92" customFormat="false" ht="15" hidden="false" customHeight="false" outlineLevel="0" collapsed="false">
      <c r="A92" s="26" t="s">
        <v>235</v>
      </c>
      <c r="B92" s="26" t="s">
        <v>236</v>
      </c>
      <c r="C92" s="26" t="s">
        <v>38</v>
      </c>
      <c r="D92" s="26" t="s">
        <v>78</v>
      </c>
      <c r="E92" s="26" t="s">
        <v>29</v>
      </c>
      <c r="F92" s="27" t="n">
        <v>3500</v>
      </c>
      <c r="G92" s="28" t="n">
        <v>46119</v>
      </c>
      <c r="H92" s="26" t="s">
        <v>30</v>
      </c>
      <c r="I92" s="26" t="n">
        <v>3.7</v>
      </c>
      <c r="J92" s="28"/>
    </row>
    <row r="93" customFormat="false" ht="15" hidden="false" customHeight="false" outlineLevel="0" collapsed="false">
      <c r="A93" s="26" t="s">
        <v>237</v>
      </c>
      <c r="B93" s="26" t="s">
        <v>238</v>
      </c>
      <c r="C93" s="26" t="s">
        <v>33</v>
      </c>
      <c r="D93" s="26" t="s">
        <v>131</v>
      </c>
      <c r="E93" s="26" t="s">
        <v>29</v>
      </c>
      <c r="F93" s="27" t="n">
        <v>3150</v>
      </c>
      <c r="G93" s="28" t="n">
        <v>46130</v>
      </c>
      <c r="H93" s="26" t="s">
        <v>30</v>
      </c>
      <c r="I93" s="26" t="n">
        <v>3.9</v>
      </c>
      <c r="J93" s="28"/>
    </row>
    <row r="94" customFormat="false" ht="15" hidden="false" customHeight="false" outlineLevel="0" collapsed="false">
      <c r="A94" s="26" t="s">
        <v>239</v>
      </c>
      <c r="B94" s="26" t="s">
        <v>240</v>
      </c>
      <c r="C94" s="26" t="s">
        <v>65</v>
      </c>
      <c r="D94" s="26" t="s">
        <v>66</v>
      </c>
      <c r="E94" s="26" t="s">
        <v>29</v>
      </c>
      <c r="F94" s="27" t="n">
        <v>2510</v>
      </c>
      <c r="G94" s="28" t="n">
        <v>46148</v>
      </c>
      <c r="H94" s="26" t="s">
        <v>30</v>
      </c>
      <c r="I94" s="26" t="n">
        <v>2.9</v>
      </c>
      <c r="J94" s="28"/>
    </row>
    <row r="95" customFormat="false" ht="15" hidden="false" customHeight="false" outlineLevel="0" collapsed="false">
      <c r="A95" s="26" t="s">
        <v>241</v>
      </c>
      <c r="B95" s="26" t="s">
        <v>242</v>
      </c>
      <c r="C95" s="26" t="s">
        <v>65</v>
      </c>
      <c r="D95" s="26" t="s">
        <v>91</v>
      </c>
      <c r="E95" s="26" t="s">
        <v>35</v>
      </c>
      <c r="F95" s="27" t="n">
        <v>3450</v>
      </c>
      <c r="G95" s="28" t="n">
        <v>46151</v>
      </c>
      <c r="H95" s="26" t="s">
        <v>30</v>
      </c>
      <c r="I95" s="26" t="n">
        <v>3.7</v>
      </c>
      <c r="J95" s="28"/>
    </row>
    <row r="96" customFormat="false" ht="15" hidden="false" customHeight="false" outlineLevel="0" collapsed="false">
      <c r="A96" s="26" t="s">
        <v>243</v>
      </c>
      <c r="B96" s="26" t="s">
        <v>244</v>
      </c>
      <c r="C96" s="26" t="s">
        <v>27</v>
      </c>
      <c r="D96" s="26" t="s">
        <v>44</v>
      </c>
      <c r="E96" s="26" t="s">
        <v>40</v>
      </c>
      <c r="F96" s="27" t="n">
        <v>3480</v>
      </c>
      <c r="G96" s="28" t="n">
        <v>46156</v>
      </c>
      <c r="H96" s="26" t="s">
        <v>30</v>
      </c>
      <c r="I96" s="26" t="n">
        <v>3.7</v>
      </c>
      <c r="J96" s="28"/>
    </row>
    <row r="97" customFormat="false" ht="15" hidden="false" customHeight="false" outlineLevel="0" collapsed="false">
      <c r="A97" s="26" t="s">
        <v>245</v>
      </c>
      <c r="B97" s="26" t="s">
        <v>246</v>
      </c>
      <c r="C97" s="26" t="s">
        <v>33</v>
      </c>
      <c r="D97" s="26" t="s">
        <v>131</v>
      </c>
      <c r="E97" s="26" t="s">
        <v>29</v>
      </c>
      <c r="F97" s="27" t="n">
        <v>3050</v>
      </c>
      <c r="G97" s="28" t="n">
        <v>46160</v>
      </c>
      <c r="H97" s="26" t="s">
        <v>30</v>
      </c>
      <c r="I97" s="26" t="n">
        <v>3.9</v>
      </c>
      <c r="J97" s="28"/>
    </row>
    <row r="98" customFormat="false" ht="15" hidden="false" customHeight="false" outlineLevel="0" collapsed="false">
      <c r="A98" s="26" t="s">
        <v>247</v>
      </c>
      <c r="B98" s="26" t="s">
        <v>248</v>
      </c>
      <c r="C98" s="26" t="s">
        <v>27</v>
      </c>
      <c r="D98" s="26" t="s">
        <v>28</v>
      </c>
      <c r="E98" s="26" t="s">
        <v>29</v>
      </c>
      <c r="F98" s="27" t="n">
        <v>2480</v>
      </c>
      <c r="G98" s="28" t="n">
        <v>46176</v>
      </c>
      <c r="H98" s="26" t="s">
        <v>30</v>
      </c>
      <c r="I98" s="26" t="n">
        <v>2.6</v>
      </c>
      <c r="J98" s="28"/>
    </row>
    <row r="99" customFormat="false" ht="15" hidden="false" customHeight="false" outlineLevel="0" collapsed="false">
      <c r="A99" s="26" t="s">
        <v>249</v>
      </c>
      <c r="B99" s="26" t="s">
        <v>250</v>
      </c>
      <c r="C99" s="26" t="s">
        <v>38</v>
      </c>
      <c r="D99" s="26" t="s">
        <v>78</v>
      </c>
      <c r="E99" s="26" t="s">
        <v>29</v>
      </c>
      <c r="F99" s="27" t="n">
        <v>4150</v>
      </c>
      <c r="G99" s="28" t="n">
        <v>46183</v>
      </c>
      <c r="H99" s="26" t="s">
        <v>30</v>
      </c>
      <c r="I99" s="26" t="n">
        <v>4.4</v>
      </c>
      <c r="J99" s="28"/>
    </row>
    <row r="100" customFormat="false" ht="15" hidden="false" customHeight="false" outlineLevel="0" collapsed="false">
      <c r="A100" s="26" t="s">
        <v>251</v>
      </c>
      <c r="B100" s="26" t="s">
        <v>252</v>
      </c>
      <c r="C100" s="26" t="s">
        <v>65</v>
      </c>
      <c r="D100" s="26" t="s">
        <v>66</v>
      </c>
      <c r="E100" s="26" t="s">
        <v>29</v>
      </c>
      <c r="F100" s="27" t="n">
        <v>3270</v>
      </c>
      <c r="G100" s="28" t="n">
        <v>46195</v>
      </c>
      <c r="H100" s="26" t="s">
        <v>30</v>
      </c>
      <c r="I100" s="26" t="n">
        <v>3.7</v>
      </c>
      <c r="J100" s="28"/>
    </row>
    <row r="101" customFormat="false" ht="15" hidden="false" customHeight="false" outlineLevel="0" collapsed="false">
      <c r="A101" s="26" t="s">
        <v>253</v>
      </c>
      <c r="B101" s="26" t="s">
        <v>254</v>
      </c>
      <c r="C101" s="26" t="s">
        <v>65</v>
      </c>
      <c r="D101" s="26" t="s">
        <v>66</v>
      </c>
      <c r="E101" s="26" t="s">
        <v>29</v>
      </c>
      <c r="F101" s="27" t="n">
        <v>3450</v>
      </c>
      <c r="G101" s="28" t="n">
        <v>46196</v>
      </c>
      <c r="H101" s="26" t="s">
        <v>30</v>
      </c>
      <c r="I101" s="26" t="n">
        <v>3.9</v>
      </c>
      <c r="J101" s="28"/>
    </row>
    <row r="102" customFormat="false" ht="15" hidden="false" customHeight="false" outlineLevel="0" collapsed="false">
      <c r="A102" s="26" t="s">
        <v>255</v>
      </c>
      <c r="B102" s="26" t="s">
        <v>256</v>
      </c>
      <c r="C102" s="26" t="s">
        <v>27</v>
      </c>
      <c r="D102" s="26" t="s">
        <v>72</v>
      </c>
      <c r="E102" s="26" t="s">
        <v>62</v>
      </c>
      <c r="F102" s="27" t="n">
        <v>3030</v>
      </c>
      <c r="G102" s="28" t="n">
        <v>46199</v>
      </c>
      <c r="H102" s="26" t="s">
        <v>30</v>
      </c>
      <c r="I102" s="26" t="n">
        <v>3.9</v>
      </c>
      <c r="J102" s="28"/>
    </row>
    <row r="103" customFormat="false" ht="15" hidden="false" customHeight="false" outlineLevel="0" collapsed="false">
      <c r="A103" s="26" t="s">
        <v>257</v>
      </c>
      <c r="B103" s="26" t="s">
        <v>258</v>
      </c>
      <c r="C103" s="26" t="s">
        <v>33</v>
      </c>
      <c r="D103" s="26" t="s">
        <v>69</v>
      </c>
      <c r="E103" s="26" t="s">
        <v>35</v>
      </c>
      <c r="F103" s="27" t="n">
        <v>3320</v>
      </c>
      <c r="G103" s="28" t="n">
        <v>46215</v>
      </c>
      <c r="H103" s="26" t="s">
        <v>30</v>
      </c>
      <c r="I103" s="26" t="n">
        <v>4.2</v>
      </c>
      <c r="J103" s="28"/>
    </row>
    <row r="104" customFormat="false" ht="15" hidden="false" customHeight="false" outlineLevel="0" collapsed="false">
      <c r="A104" s="26" t="s">
        <v>259</v>
      </c>
      <c r="B104" s="26" t="s">
        <v>260</v>
      </c>
      <c r="C104" s="26" t="s">
        <v>33</v>
      </c>
      <c r="D104" s="26" t="s">
        <v>131</v>
      </c>
      <c r="E104" s="26" t="s">
        <v>29</v>
      </c>
      <c r="F104" s="27" t="n">
        <v>3100</v>
      </c>
      <c r="G104" s="28" t="n">
        <v>46222</v>
      </c>
      <c r="H104" s="26" t="s">
        <v>30</v>
      </c>
      <c r="I104" s="26" t="n">
        <v>3.8</v>
      </c>
      <c r="J104" s="28"/>
    </row>
    <row r="105" customFormat="false" ht="15" hidden="false" customHeight="false" outlineLevel="0" collapsed="false">
      <c r="A105" s="26" t="s">
        <v>261</v>
      </c>
      <c r="B105" s="26" t="s">
        <v>262</v>
      </c>
      <c r="C105" s="26" t="s">
        <v>27</v>
      </c>
      <c r="D105" s="26" t="s">
        <v>72</v>
      </c>
      <c r="E105" s="26" t="s">
        <v>62</v>
      </c>
      <c r="F105" s="27" t="n">
        <v>3020</v>
      </c>
      <c r="G105" s="28" t="n">
        <v>46222</v>
      </c>
      <c r="H105" s="26" t="s">
        <v>30</v>
      </c>
      <c r="I105" s="26" t="n">
        <v>3.7</v>
      </c>
      <c r="J105" s="28"/>
    </row>
    <row r="106" customFormat="false" ht="15" hidden="false" customHeight="false" outlineLevel="0" collapsed="false">
      <c r="A106" s="26" t="s">
        <v>263</v>
      </c>
      <c r="B106" s="26" t="s">
        <v>264</v>
      </c>
      <c r="C106" s="26" t="s">
        <v>27</v>
      </c>
      <c r="D106" s="26" t="s">
        <v>44</v>
      </c>
      <c r="E106" s="26" t="s">
        <v>40</v>
      </c>
      <c r="F106" s="27" t="n">
        <v>3510</v>
      </c>
      <c r="G106" s="28" t="n">
        <v>46223</v>
      </c>
      <c r="H106" s="26" t="s">
        <v>30</v>
      </c>
      <c r="I106" s="26" t="n">
        <v>3.7</v>
      </c>
      <c r="J106" s="28"/>
    </row>
    <row r="107" customFormat="false" ht="15" hidden="false" customHeight="false" outlineLevel="0" collapsed="false">
      <c r="A107" s="26" t="s">
        <v>265</v>
      </c>
      <c r="B107" s="26" t="s">
        <v>266</v>
      </c>
      <c r="C107" s="26" t="s">
        <v>33</v>
      </c>
      <c r="D107" s="26" t="s">
        <v>34</v>
      </c>
      <c r="E107" s="26" t="s">
        <v>35</v>
      </c>
      <c r="F107" s="27" t="n">
        <v>2630</v>
      </c>
      <c r="G107" s="28" t="n">
        <v>46236</v>
      </c>
      <c r="H107" s="26" t="s">
        <v>30</v>
      </c>
      <c r="I107" s="26" t="n">
        <v>3</v>
      </c>
      <c r="J107" s="28"/>
    </row>
    <row r="108" customFormat="false" ht="15" hidden="false" customHeight="false" outlineLevel="0" collapsed="false">
      <c r="A108" s="26" t="s">
        <v>267</v>
      </c>
      <c r="B108" s="26" t="s">
        <v>268</v>
      </c>
      <c r="C108" s="26" t="s">
        <v>65</v>
      </c>
      <c r="D108" s="26" t="s">
        <v>75</v>
      </c>
      <c r="E108" s="26" t="s">
        <v>62</v>
      </c>
      <c r="F108" s="27" t="n">
        <v>3350</v>
      </c>
      <c r="G108" s="28" t="n">
        <v>46238</v>
      </c>
      <c r="H108" s="26" t="s">
        <v>30</v>
      </c>
      <c r="I108" s="26" t="n">
        <v>3.8</v>
      </c>
      <c r="J108" s="28"/>
    </row>
    <row r="109" customFormat="false" ht="15" hidden="false" customHeight="false" outlineLevel="0" collapsed="false">
      <c r="A109" s="26" t="s">
        <v>269</v>
      </c>
      <c r="B109" s="26" t="s">
        <v>270</v>
      </c>
      <c r="C109" s="26" t="s">
        <v>98</v>
      </c>
      <c r="D109" s="26" t="s">
        <v>190</v>
      </c>
      <c r="E109" s="26" t="s">
        <v>35</v>
      </c>
      <c r="F109" s="27" t="n">
        <v>4430</v>
      </c>
      <c r="G109" s="28" t="n">
        <v>46243</v>
      </c>
      <c r="H109" s="26" t="s">
        <v>30</v>
      </c>
      <c r="I109" s="26" t="n">
        <v>4.9</v>
      </c>
      <c r="J109" s="28"/>
    </row>
    <row r="110" customFormat="false" ht="15" hidden="false" customHeight="false" outlineLevel="0" collapsed="false">
      <c r="A110" s="26" t="s">
        <v>271</v>
      </c>
      <c r="B110" s="26" t="s">
        <v>272</v>
      </c>
      <c r="C110" s="26" t="s">
        <v>98</v>
      </c>
      <c r="D110" s="26" t="s">
        <v>190</v>
      </c>
      <c r="E110" s="26" t="s">
        <v>35</v>
      </c>
      <c r="F110" s="27" t="n">
        <v>3480</v>
      </c>
      <c r="G110" s="28" t="n">
        <v>46251</v>
      </c>
      <c r="H110" s="26" t="s">
        <v>30</v>
      </c>
      <c r="I110" s="26" t="n">
        <v>3.7</v>
      </c>
      <c r="J110" s="28"/>
    </row>
    <row r="111" customFormat="false" ht="15" hidden="false" customHeight="false" outlineLevel="0" collapsed="false">
      <c r="A111" s="26" t="s">
        <v>273</v>
      </c>
      <c r="B111" s="26" t="s">
        <v>274</v>
      </c>
      <c r="C111" s="26" t="s">
        <v>65</v>
      </c>
      <c r="D111" s="26" t="s">
        <v>66</v>
      </c>
      <c r="E111" s="26" t="s">
        <v>29</v>
      </c>
      <c r="F111" s="27" t="n">
        <v>2720</v>
      </c>
      <c r="G111" s="28" t="n">
        <v>46254</v>
      </c>
      <c r="H111" s="26" t="s">
        <v>30</v>
      </c>
      <c r="I111" s="26" t="n">
        <v>3</v>
      </c>
      <c r="J111" s="28"/>
    </row>
    <row r="112" customFormat="false" ht="15" hidden="false" customHeight="false" outlineLevel="0" collapsed="false">
      <c r="A112" s="26" t="s">
        <v>275</v>
      </c>
      <c r="B112" s="26" t="s">
        <v>276</v>
      </c>
      <c r="C112" s="26" t="s">
        <v>38</v>
      </c>
      <c r="D112" s="26" t="s">
        <v>47</v>
      </c>
      <c r="E112" s="26" t="s">
        <v>29</v>
      </c>
      <c r="F112" s="27" t="n">
        <v>3460</v>
      </c>
      <c r="G112" s="28" t="n">
        <v>46266</v>
      </c>
      <c r="H112" s="26" t="s">
        <v>30</v>
      </c>
      <c r="I112" s="26" t="n">
        <v>3.4</v>
      </c>
      <c r="J112" s="28"/>
    </row>
    <row r="113" customFormat="false" ht="15" hidden="false" customHeight="false" outlineLevel="0" collapsed="false">
      <c r="A113" s="26" t="s">
        <v>277</v>
      </c>
      <c r="B113" s="26" t="s">
        <v>278</v>
      </c>
      <c r="C113" s="26" t="s">
        <v>27</v>
      </c>
      <c r="D113" s="26" t="s">
        <v>28</v>
      </c>
      <c r="E113" s="26" t="s">
        <v>29</v>
      </c>
      <c r="F113" s="27" t="n">
        <v>2910</v>
      </c>
      <c r="G113" s="28" t="n">
        <v>46284</v>
      </c>
      <c r="H113" s="26" t="s">
        <v>30</v>
      </c>
      <c r="I113" s="26" t="n">
        <v>3.5</v>
      </c>
      <c r="J113" s="28"/>
    </row>
    <row r="114" customFormat="false" ht="15" hidden="false" customHeight="false" outlineLevel="0" collapsed="false">
      <c r="A114" s="26" t="s">
        <v>279</v>
      </c>
      <c r="B114" s="26" t="s">
        <v>280</v>
      </c>
      <c r="C114" s="26" t="s">
        <v>38</v>
      </c>
      <c r="D114" s="26" t="s">
        <v>39</v>
      </c>
      <c r="E114" s="26" t="s">
        <v>40</v>
      </c>
      <c r="F114" s="27" t="n">
        <v>4260</v>
      </c>
      <c r="G114" s="28" t="n">
        <v>46291</v>
      </c>
      <c r="H114" s="26" t="s">
        <v>30</v>
      </c>
      <c r="I114" s="26" t="n">
        <v>4</v>
      </c>
      <c r="J114" s="28"/>
    </row>
    <row r="115" customFormat="false" ht="15" hidden="false" customHeight="false" outlineLevel="0" collapsed="false">
      <c r="A115" s="26" t="s">
        <v>281</v>
      </c>
      <c r="B115" s="26" t="s">
        <v>282</v>
      </c>
      <c r="C115" s="26" t="s">
        <v>65</v>
      </c>
      <c r="D115" s="26" t="s">
        <v>66</v>
      </c>
      <c r="E115" s="26" t="s">
        <v>29</v>
      </c>
      <c r="F115" s="27" t="n">
        <v>3570</v>
      </c>
      <c r="G115" s="28" t="n">
        <v>46293</v>
      </c>
      <c r="H115" s="26" t="s">
        <v>30</v>
      </c>
      <c r="I115" s="26" t="n">
        <v>4</v>
      </c>
      <c r="J115" s="28"/>
    </row>
    <row r="116" customFormat="false" ht="15" hidden="false" customHeight="false" outlineLevel="0" collapsed="false">
      <c r="A116" s="26" t="s">
        <v>283</v>
      </c>
      <c r="B116" s="26" t="s">
        <v>284</v>
      </c>
      <c r="C116" s="26" t="s">
        <v>98</v>
      </c>
      <c r="D116" s="26" t="s">
        <v>99</v>
      </c>
      <c r="E116" s="26" t="s">
        <v>40</v>
      </c>
      <c r="F116" s="27" t="n">
        <v>3880</v>
      </c>
      <c r="G116" s="28" t="n">
        <v>46296</v>
      </c>
      <c r="H116" s="26" t="s">
        <v>30</v>
      </c>
      <c r="I116" s="26" t="n">
        <v>3.8</v>
      </c>
      <c r="J116" s="28"/>
    </row>
    <row r="117" customFormat="false" ht="15" hidden="false" customHeight="false" outlineLevel="0" collapsed="false">
      <c r="A117" s="26" t="s">
        <v>285</v>
      </c>
      <c r="B117" s="26" t="s">
        <v>286</v>
      </c>
      <c r="C117" s="26" t="s">
        <v>38</v>
      </c>
      <c r="D117" s="26" t="s">
        <v>78</v>
      </c>
      <c r="E117" s="26" t="s">
        <v>29</v>
      </c>
      <c r="F117" s="27" t="n">
        <v>3420</v>
      </c>
      <c r="G117" s="28" t="n">
        <v>46296</v>
      </c>
      <c r="H117" s="26" t="s">
        <v>30</v>
      </c>
      <c r="I117" s="26" t="n">
        <v>3.3</v>
      </c>
      <c r="J117" s="28"/>
    </row>
    <row r="118" customFormat="false" ht="15" hidden="false" customHeight="false" outlineLevel="0" collapsed="false">
      <c r="A118" s="26" t="s">
        <v>287</v>
      </c>
      <c r="B118" s="26" t="s">
        <v>288</v>
      </c>
      <c r="C118" s="26" t="s">
        <v>33</v>
      </c>
      <c r="D118" s="26" t="s">
        <v>69</v>
      </c>
      <c r="E118" s="26" t="s">
        <v>35</v>
      </c>
      <c r="F118" s="27" t="n">
        <v>3290</v>
      </c>
      <c r="G118" s="28" t="n">
        <v>46299</v>
      </c>
      <c r="H118" s="26" t="s">
        <v>30</v>
      </c>
      <c r="I118" s="26" t="n">
        <v>3.9</v>
      </c>
      <c r="J118" s="28"/>
    </row>
    <row r="119" customFormat="false" ht="15" hidden="false" customHeight="false" outlineLevel="0" collapsed="false">
      <c r="A119" s="26" t="s">
        <v>289</v>
      </c>
      <c r="B119" s="26" t="s">
        <v>290</v>
      </c>
      <c r="C119" s="26" t="s">
        <v>65</v>
      </c>
      <c r="D119" s="26" t="s">
        <v>66</v>
      </c>
      <c r="E119" s="26" t="s">
        <v>29</v>
      </c>
      <c r="F119" s="27" t="n">
        <v>3710</v>
      </c>
      <c r="G119" s="28" t="n">
        <v>46300</v>
      </c>
      <c r="H119" s="26" t="s">
        <v>30</v>
      </c>
      <c r="I119" s="26" t="n">
        <v>4.3</v>
      </c>
      <c r="J119" s="28"/>
    </row>
    <row r="120" customFormat="false" ht="15" hidden="false" customHeight="false" outlineLevel="0" collapsed="false">
      <c r="A120" s="26" t="s">
        <v>291</v>
      </c>
      <c r="B120" s="26" t="s">
        <v>292</v>
      </c>
      <c r="C120" s="26" t="s">
        <v>38</v>
      </c>
      <c r="D120" s="26" t="s">
        <v>78</v>
      </c>
      <c r="E120" s="26" t="s">
        <v>29</v>
      </c>
      <c r="F120" s="27" t="n">
        <v>3500</v>
      </c>
      <c r="G120" s="28" t="n">
        <v>46301</v>
      </c>
      <c r="H120" s="26" t="s">
        <v>30</v>
      </c>
      <c r="I120" s="26" t="n">
        <v>3.7</v>
      </c>
      <c r="J120" s="28"/>
    </row>
    <row r="121" customFormat="false" ht="15" hidden="false" customHeight="false" outlineLevel="0" collapsed="false">
      <c r="A121" s="26" t="s">
        <v>293</v>
      </c>
      <c r="B121" s="26" t="s">
        <v>294</v>
      </c>
      <c r="C121" s="26" t="s">
        <v>38</v>
      </c>
      <c r="D121" s="26" t="s">
        <v>39</v>
      </c>
      <c r="E121" s="26" t="s">
        <v>40</v>
      </c>
      <c r="F121" s="27" t="n">
        <v>3510</v>
      </c>
      <c r="G121" s="28" t="n">
        <v>46302</v>
      </c>
      <c r="H121" s="26" t="s">
        <v>30</v>
      </c>
      <c r="I121" s="26" t="n">
        <v>3.3</v>
      </c>
      <c r="J121" s="28"/>
    </row>
    <row r="122" customFormat="false" ht="15" hidden="false" customHeight="false" outlineLevel="0" collapsed="false">
      <c r="A122" s="26" t="s">
        <v>295</v>
      </c>
      <c r="B122" s="26" t="s">
        <v>296</v>
      </c>
      <c r="C122" s="26" t="s">
        <v>38</v>
      </c>
      <c r="D122" s="26" t="s">
        <v>61</v>
      </c>
      <c r="E122" s="26" t="s">
        <v>62</v>
      </c>
      <c r="F122" s="27" t="n">
        <v>3390</v>
      </c>
      <c r="G122" s="28" t="n">
        <v>44627</v>
      </c>
      <c r="H122" s="26" t="s">
        <v>297</v>
      </c>
      <c r="I122" s="26" t="n">
        <v>3.6</v>
      </c>
      <c r="J122" s="28" t="n">
        <v>46288</v>
      </c>
    </row>
    <row r="123" customFormat="false" ht="15" hidden="false" customHeight="false" outlineLevel="0" collapsed="false">
      <c r="A123" s="26" t="s">
        <v>298</v>
      </c>
      <c r="B123" s="26" t="s">
        <v>299</v>
      </c>
      <c r="C123" s="26" t="s">
        <v>27</v>
      </c>
      <c r="D123" s="26" t="s">
        <v>44</v>
      </c>
      <c r="E123" s="26" t="s">
        <v>40</v>
      </c>
      <c r="F123" s="27" t="n">
        <v>3900</v>
      </c>
      <c r="G123" s="28" t="n">
        <v>44881</v>
      </c>
      <c r="H123" s="26" t="s">
        <v>297</v>
      </c>
      <c r="I123" s="26" t="n">
        <v>4.4</v>
      </c>
      <c r="J123" s="28" t="n">
        <v>46153</v>
      </c>
    </row>
    <row r="124" customFormat="false" ht="15" hidden="false" customHeight="false" outlineLevel="0" collapsed="false">
      <c r="A124" s="26" t="s">
        <v>300</v>
      </c>
      <c r="B124" s="26" t="s">
        <v>301</v>
      </c>
      <c r="C124" s="26" t="s">
        <v>65</v>
      </c>
      <c r="D124" s="26" t="s">
        <v>66</v>
      </c>
      <c r="E124" s="26" t="s">
        <v>29</v>
      </c>
      <c r="F124" s="27" t="n">
        <v>2570</v>
      </c>
      <c r="G124" s="28" t="n">
        <v>44971</v>
      </c>
      <c r="H124" s="26" t="s">
        <v>297</v>
      </c>
      <c r="I124" s="26" t="n">
        <v>2.6</v>
      </c>
      <c r="J124" s="28" t="n">
        <v>46308</v>
      </c>
    </row>
    <row r="125" customFormat="false" ht="15" hidden="false" customHeight="false" outlineLevel="0" collapsed="false">
      <c r="A125" s="26" t="s">
        <v>302</v>
      </c>
      <c r="B125" s="26" t="s">
        <v>303</v>
      </c>
      <c r="C125" s="26" t="s">
        <v>33</v>
      </c>
      <c r="D125" s="26" t="s">
        <v>131</v>
      </c>
      <c r="E125" s="26" t="s">
        <v>29</v>
      </c>
      <c r="F125" s="27" t="n">
        <v>2450</v>
      </c>
      <c r="G125" s="28" t="n">
        <v>45033</v>
      </c>
      <c r="H125" s="26" t="s">
        <v>297</v>
      </c>
      <c r="I125" s="26" t="n">
        <v>2.6</v>
      </c>
      <c r="J125" s="28" t="n">
        <v>46197</v>
      </c>
    </row>
    <row r="126" customFormat="false" ht="15" hidden="false" customHeight="false" outlineLevel="0" collapsed="false">
      <c r="A126" s="26" t="s">
        <v>304</v>
      </c>
      <c r="B126" s="26" t="s">
        <v>305</v>
      </c>
      <c r="C126" s="26" t="s">
        <v>38</v>
      </c>
      <c r="D126" s="26" t="s">
        <v>39</v>
      </c>
      <c r="E126" s="26" t="s">
        <v>40</v>
      </c>
      <c r="F126" s="27" t="n">
        <v>3600</v>
      </c>
      <c r="G126" s="28" t="n">
        <v>45232</v>
      </c>
      <c r="H126" s="26" t="s">
        <v>297</v>
      </c>
      <c r="I126" s="26" t="n">
        <v>3.3</v>
      </c>
      <c r="J126" s="28" t="n">
        <v>46274</v>
      </c>
    </row>
    <row r="127" customFormat="false" ht="15" hidden="false" customHeight="false" outlineLevel="0" collapsed="false">
      <c r="A127" s="26" t="s">
        <v>306</v>
      </c>
      <c r="B127" s="26" t="s">
        <v>307</v>
      </c>
      <c r="C127" s="26" t="s">
        <v>27</v>
      </c>
      <c r="D127" s="26" t="s">
        <v>28</v>
      </c>
      <c r="E127" s="26" t="s">
        <v>29</v>
      </c>
      <c r="F127" s="27" t="n">
        <v>2250</v>
      </c>
      <c r="G127" s="28" t="n">
        <v>45297</v>
      </c>
      <c r="H127" s="26" t="s">
        <v>297</v>
      </c>
      <c r="I127" s="26" t="n">
        <v>2.5</v>
      </c>
      <c r="J127" s="28" t="n">
        <v>46310</v>
      </c>
    </row>
    <row r="128" customFormat="false" ht="15" hidden="false" customHeight="false" outlineLevel="0" collapsed="false">
      <c r="A128" s="26" t="s">
        <v>308</v>
      </c>
      <c r="B128" s="26" t="s">
        <v>309</v>
      </c>
      <c r="C128" s="26" t="s">
        <v>38</v>
      </c>
      <c r="D128" s="26" t="s">
        <v>39</v>
      </c>
      <c r="E128" s="26" t="s">
        <v>40</v>
      </c>
      <c r="F128" s="27" t="n">
        <v>3370</v>
      </c>
      <c r="G128" s="28" t="n">
        <v>45485</v>
      </c>
      <c r="H128" s="26" t="s">
        <v>297</v>
      </c>
      <c r="I128" s="26" t="n">
        <v>3.2</v>
      </c>
      <c r="J128" s="28" t="n">
        <v>46243</v>
      </c>
    </row>
    <row r="129" customFormat="false" ht="15" hidden="false" customHeight="false" outlineLevel="0" collapsed="false">
      <c r="A129" s="26" t="s">
        <v>310</v>
      </c>
      <c r="B129" s="26" t="s">
        <v>311</v>
      </c>
      <c r="C129" s="26" t="s">
        <v>65</v>
      </c>
      <c r="D129" s="26" t="s">
        <v>66</v>
      </c>
      <c r="E129" s="26" t="s">
        <v>29</v>
      </c>
      <c r="F129" s="27" t="n">
        <v>3020</v>
      </c>
      <c r="G129" s="28" t="n">
        <v>45490</v>
      </c>
      <c r="H129" s="26" t="s">
        <v>297</v>
      </c>
      <c r="I129" s="26" t="n">
        <v>3.2</v>
      </c>
      <c r="J129" s="28" t="n">
        <v>46248</v>
      </c>
    </row>
    <row r="130" customFormat="false" ht="15" hidden="false" customHeight="false" outlineLevel="0" collapsed="false">
      <c r="A130" s="26" t="s">
        <v>312</v>
      </c>
      <c r="B130" s="26" t="s">
        <v>313</v>
      </c>
      <c r="C130" s="26" t="s">
        <v>27</v>
      </c>
      <c r="D130" s="26" t="s">
        <v>72</v>
      </c>
      <c r="E130" s="26" t="s">
        <v>62</v>
      </c>
      <c r="F130" s="27" t="n">
        <v>3240</v>
      </c>
      <c r="G130" s="28" t="n">
        <v>45758</v>
      </c>
      <c r="H130" s="26" t="s">
        <v>297</v>
      </c>
      <c r="I130" s="26" t="n">
        <v>4.3</v>
      </c>
      <c r="J130" s="28" t="n">
        <v>46221</v>
      </c>
    </row>
    <row r="131" customFormat="false" ht="15" hidden="false" customHeight="false" outlineLevel="0" collapsed="false">
      <c r="A131" s="26" t="s">
        <v>314</v>
      </c>
      <c r="B131" s="26" t="s">
        <v>315</v>
      </c>
      <c r="C131" s="26" t="s">
        <v>33</v>
      </c>
      <c r="D131" s="26" t="s">
        <v>34</v>
      </c>
      <c r="E131" s="26" t="s">
        <v>35</v>
      </c>
      <c r="F131" s="27" t="n">
        <v>2100</v>
      </c>
      <c r="G131" s="28" t="n">
        <v>45997</v>
      </c>
      <c r="H131" s="26" t="s">
        <v>297</v>
      </c>
      <c r="I131" s="26" t="n">
        <v>2.1</v>
      </c>
      <c r="J131" s="28" t="n">
        <v>46315</v>
      </c>
    </row>
    <row r="132" customFormat="false" ht="15" hidden="false" customHeight="false" outlineLevel="0" collapsed="false">
      <c r="A132" s="26" t="s">
        <v>316</v>
      </c>
      <c r="B132" s="26" t="s">
        <v>317</v>
      </c>
      <c r="C132" s="26" t="s">
        <v>27</v>
      </c>
      <c r="D132" s="26" t="s">
        <v>72</v>
      </c>
      <c r="E132" s="26" t="s">
        <v>62</v>
      </c>
      <c r="F132" s="27" t="n">
        <v>2200</v>
      </c>
      <c r="G132" s="28" t="n">
        <v>46087</v>
      </c>
      <c r="H132" s="26" t="s">
        <v>297</v>
      </c>
      <c r="I132" s="26" t="n">
        <v>2.6</v>
      </c>
      <c r="J132" s="28" t="n">
        <v>46181</v>
      </c>
    </row>
    <row r="133" customFormat="false" ht="15" hidden="false" customHeight="false" outlineLevel="0" collapsed="false">
      <c r="A133" s="26" t="s">
        <v>318</v>
      </c>
      <c r="B133" s="26" t="s">
        <v>319</v>
      </c>
      <c r="C133" s="26" t="s">
        <v>27</v>
      </c>
      <c r="D133" s="26" t="s">
        <v>72</v>
      </c>
      <c r="E133" s="26" t="s">
        <v>62</v>
      </c>
      <c r="F133" s="27" t="n">
        <v>3180</v>
      </c>
      <c r="G133" s="28" t="n">
        <v>46109</v>
      </c>
      <c r="H133" s="26" t="s">
        <v>297</v>
      </c>
      <c r="I133" s="26" t="n">
        <v>3.9</v>
      </c>
      <c r="J133" s="28" t="n">
        <v>46310</v>
      </c>
    </row>
    <row r="135" customFormat="false" ht="15" hidden="false" customHeight="false" outlineLevel="0" collapsed="false">
      <c r="A135" s="29" t="s">
        <v>320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4"/>
    <col collapsed="false" customWidth="true" hidden="false" outlineLevel="0" max="6" min="3" style="0" width="12"/>
    <col collapsed="false" customWidth="true" hidden="false" outlineLevel="0" max="7" min="7" style="0" width="14"/>
    <col collapsed="false" customWidth="true" hidden="false" outlineLevel="0" max="8" min="8" style="0" width="12"/>
  </cols>
  <sheetData>
    <row r="1" customFormat="false" ht="26.85" hidden="false" customHeight="false" outlineLevel="0" collapsed="false">
      <c r="A1" s="25" t="s">
        <v>15</v>
      </c>
      <c r="B1" s="25" t="s">
        <v>17</v>
      </c>
      <c r="C1" s="25" t="s">
        <v>321</v>
      </c>
      <c r="D1" s="25" t="s">
        <v>322</v>
      </c>
      <c r="E1" s="25" t="s">
        <v>323</v>
      </c>
      <c r="F1" s="25" t="s">
        <v>324</v>
      </c>
      <c r="G1" s="25" t="s">
        <v>325</v>
      </c>
      <c r="H1" s="25" t="s">
        <v>326</v>
      </c>
    </row>
    <row r="2" customFormat="false" ht="15" hidden="false" customHeight="false" outlineLevel="0" collapsed="false">
      <c r="A2" s="26" t="s">
        <v>25</v>
      </c>
      <c r="B2" s="26" t="str">
        <f aca="false">INDEX(Datos_Departamento,MATCH(A2,Datos_ID,0))</f>
        <v>Ventas</v>
      </c>
      <c r="C2" s="26" t="s">
        <v>327</v>
      </c>
      <c r="D2" s="26" t="s">
        <v>327</v>
      </c>
      <c r="E2" s="26" t="s">
        <v>328</v>
      </c>
      <c r="F2" s="26" t="s">
        <v>327</v>
      </c>
      <c r="G2" s="26" t="s">
        <v>327</v>
      </c>
      <c r="H2" s="26" t="s">
        <v>327</v>
      </c>
    </row>
    <row r="3" customFormat="false" ht="15" hidden="false" customHeight="false" outlineLevel="0" collapsed="false">
      <c r="A3" s="26" t="s">
        <v>31</v>
      </c>
      <c r="B3" s="26" t="str">
        <f aca="false">INDEX(Datos_Departamento,MATCH(A3,Datos_ID,0))</f>
        <v>Operaciones</v>
      </c>
      <c r="C3" s="26" t="s">
        <v>327</v>
      </c>
      <c r="D3" s="26" t="s">
        <v>327</v>
      </c>
      <c r="E3" s="26" t="s">
        <v>327</v>
      </c>
      <c r="F3" s="26" t="s">
        <v>327</v>
      </c>
      <c r="G3" s="26" t="s">
        <v>327</v>
      </c>
      <c r="H3" s="26" t="s">
        <v>327</v>
      </c>
    </row>
    <row r="4" customFormat="false" ht="15" hidden="false" customHeight="false" outlineLevel="0" collapsed="false">
      <c r="A4" s="26" t="s">
        <v>36</v>
      </c>
      <c r="B4" s="26" t="str">
        <f aca="false">INDEX(Datos_Departamento,MATCH(A4,Datos_ID,0))</f>
        <v>IT</v>
      </c>
      <c r="C4" s="26" t="s">
        <v>328</v>
      </c>
      <c r="D4" s="26" t="s">
        <v>327</v>
      </c>
      <c r="E4" s="26" t="s">
        <v>327</v>
      </c>
      <c r="F4" s="26" t="s">
        <v>327</v>
      </c>
      <c r="G4" s="26" t="s">
        <v>327</v>
      </c>
      <c r="H4" s="26" t="s">
        <v>327</v>
      </c>
    </row>
    <row r="5" customFormat="false" ht="15" hidden="false" customHeight="false" outlineLevel="0" collapsed="false">
      <c r="A5" s="26" t="s">
        <v>42</v>
      </c>
      <c r="B5" s="26" t="str">
        <f aca="false">INDEX(Datos_Departamento,MATCH(A5,Datos_ID,0))</f>
        <v>Ventas</v>
      </c>
      <c r="C5" s="26" t="s">
        <v>327</v>
      </c>
      <c r="D5" s="26" t="s">
        <v>327</v>
      </c>
      <c r="E5" s="26" t="s">
        <v>327</v>
      </c>
      <c r="F5" s="26" t="s">
        <v>327</v>
      </c>
      <c r="G5" s="26" t="s">
        <v>327</v>
      </c>
      <c r="H5" s="26" t="s">
        <v>328</v>
      </c>
    </row>
    <row r="6" customFormat="false" ht="15" hidden="false" customHeight="false" outlineLevel="0" collapsed="false">
      <c r="A6" s="26" t="s">
        <v>45</v>
      </c>
      <c r="B6" s="26" t="str">
        <f aca="false">INDEX(Datos_Departamento,MATCH(A6,Datos_ID,0))</f>
        <v>IT</v>
      </c>
      <c r="C6" s="26" t="s">
        <v>327</v>
      </c>
      <c r="D6" s="26" t="s">
        <v>327</v>
      </c>
      <c r="E6" s="26" t="s">
        <v>327</v>
      </c>
      <c r="F6" s="26" t="s">
        <v>327</v>
      </c>
      <c r="G6" s="26" t="s">
        <v>327</v>
      </c>
      <c r="H6" s="26" t="s">
        <v>327</v>
      </c>
    </row>
    <row r="7" customFormat="false" ht="15" hidden="false" customHeight="false" outlineLevel="0" collapsed="false">
      <c r="A7" s="26" t="s">
        <v>48</v>
      </c>
      <c r="B7" s="26" t="str">
        <f aca="false">INDEX(Datos_Departamento,MATCH(A7,Datos_ID,0))</f>
        <v>IT</v>
      </c>
      <c r="C7" s="26" t="s">
        <v>327</v>
      </c>
      <c r="D7" s="26" t="s">
        <v>327</v>
      </c>
      <c r="E7" s="26" t="s">
        <v>327</v>
      </c>
      <c r="F7" s="26" t="s">
        <v>327</v>
      </c>
      <c r="G7" s="26" t="s">
        <v>327</v>
      </c>
      <c r="H7" s="26" t="s">
        <v>327</v>
      </c>
    </row>
    <row r="8" customFormat="false" ht="15" hidden="false" customHeight="false" outlineLevel="0" collapsed="false">
      <c r="A8" s="26" t="s">
        <v>51</v>
      </c>
      <c r="B8" s="26" t="str">
        <f aca="false">INDEX(Datos_Departamento,MATCH(A8,Datos_ID,0))</f>
        <v>IT</v>
      </c>
      <c r="C8" s="26" t="s">
        <v>327</v>
      </c>
      <c r="D8" s="26" t="s">
        <v>327</v>
      </c>
      <c r="E8" s="26" t="s">
        <v>327</v>
      </c>
      <c r="F8" s="26" t="s">
        <v>327</v>
      </c>
      <c r="G8" s="26" t="s">
        <v>327</v>
      </c>
      <c r="H8" s="26" t="s">
        <v>327</v>
      </c>
    </row>
    <row r="9" customFormat="false" ht="15" hidden="false" customHeight="false" outlineLevel="0" collapsed="false">
      <c r="A9" s="26" t="s">
        <v>53</v>
      </c>
      <c r="B9" s="26" t="str">
        <f aca="false">INDEX(Datos_Departamento,MATCH(A9,Datos_ID,0))</f>
        <v>IT</v>
      </c>
      <c r="C9" s="26" t="s">
        <v>327</v>
      </c>
      <c r="D9" s="26" t="s">
        <v>327</v>
      </c>
      <c r="E9" s="26" t="s">
        <v>327</v>
      </c>
      <c r="F9" s="26" t="s">
        <v>327</v>
      </c>
      <c r="G9" s="26" t="s">
        <v>327</v>
      </c>
      <c r="H9" s="26" t="s">
        <v>327</v>
      </c>
    </row>
    <row r="10" customFormat="false" ht="15" hidden="false" customHeight="false" outlineLevel="0" collapsed="false">
      <c r="A10" s="26" t="s">
        <v>55</v>
      </c>
      <c r="B10" s="26" t="str">
        <f aca="false">INDEX(Datos_Departamento,MATCH(A10,Datos_ID,0))</f>
        <v>Operaciones</v>
      </c>
      <c r="C10" s="26" t="s">
        <v>327</v>
      </c>
      <c r="D10" s="26" t="s">
        <v>327</v>
      </c>
      <c r="E10" s="26" t="s">
        <v>327</v>
      </c>
      <c r="F10" s="26" t="s">
        <v>327</v>
      </c>
      <c r="G10" s="26" t="s">
        <v>327</v>
      </c>
      <c r="H10" s="26" t="s">
        <v>327</v>
      </c>
    </row>
    <row r="11" customFormat="false" ht="15" hidden="false" customHeight="false" outlineLevel="0" collapsed="false">
      <c r="A11" s="26" t="s">
        <v>57</v>
      </c>
      <c r="B11" s="26" t="str">
        <f aca="false">INDEX(Datos_Departamento,MATCH(A11,Datos_ID,0))</f>
        <v>IT</v>
      </c>
      <c r="C11" s="26" t="s">
        <v>327</v>
      </c>
      <c r="D11" s="26" t="s">
        <v>327</v>
      </c>
      <c r="E11" s="26" t="s">
        <v>327</v>
      </c>
      <c r="F11" s="26" t="s">
        <v>327</v>
      </c>
      <c r="G11" s="26" t="s">
        <v>327</v>
      </c>
      <c r="H11" s="26" t="s">
        <v>327</v>
      </c>
    </row>
    <row r="12" customFormat="false" ht="15" hidden="false" customHeight="false" outlineLevel="0" collapsed="false">
      <c r="A12" s="26" t="s">
        <v>59</v>
      </c>
      <c r="B12" s="26" t="str">
        <f aca="false">INDEX(Datos_Departamento,MATCH(A12,Datos_ID,0))</f>
        <v>IT</v>
      </c>
      <c r="C12" s="26" t="s">
        <v>327</v>
      </c>
      <c r="D12" s="26" t="s">
        <v>327</v>
      </c>
      <c r="E12" s="26" t="s">
        <v>327</v>
      </c>
      <c r="F12" s="26" t="s">
        <v>327</v>
      </c>
      <c r="G12" s="26" t="s">
        <v>327</v>
      </c>
      <c r="H12" s="26" t="s">
        <v>327</v>
      </c>
    </row>
    <row r="13" customFormat="false" ht="15" hidden="false" customHeight="false" outlineLevel="0" collapsed="false">
      <c r="A13" s="26" t="s">
        <v>63</v>
      </c>
      <c r="B13" s="26" t="str">
        <f aca="false">INDEX(Datos_Departamento,MATCH(A13,Datos_ID,0))</f>
        <v>RRHH</v>
      </c>
      <c r="C13" s="26" t="s">
        <v>327</v>
      </c>
      <c r="D13" s="26" t="s">
        <v>327</v>
      </c>
      <c r="E13" s="26" t="s">
        <v>327</v>
      </c>
      <c r="F13" s="26" t="s">
        <v>327</v>
      </c>
      <c r="G13" s="26" t="s">
        <v>327</v>
      </c>
      <c r="H13" s="26" t="s">
        <v>327</v>
      </c>
    </row>
    <row r="14" customFormat="false" ht="15" hidden="false" customHeight="false" outlineLevel="0" collapsed="false">
      <c r="A14" s="26" t="s">
        <v>67</v>
      </c>
      <c r="B14" s="26" t="str">
        <f aca="false">INDEX(Datos_Departamento,MATCH(A14,Datos_ID,0))</f>
        <v>Operaciones</v>
      </c>
      <c r="C14" s="26" t="s">
        <v>327</v>
      </c>
      <c r="D14" s="26" t="s">
        <v>327</v>
      </c>
      <c r="E14" s="26" t="s">
        <v>327</v>
      </c>
      <c r="F14" s="26" t="s">
        <v>327</v>
      </c>
      <c r="G14" s="26" t="s">
        <v>327</v>
      </c>
      <c r="H14" s="26" t="s">
        <v>327</v>
      </c>
    </row>
    <row r="15" customFormat="false" ht="15" hidden="false" customHeight="false" outlineLevel="0" collapsed="false">
      <c r="A15" s="26" t="s">
        <v>70</v>
      </c>
      <c r="B15" s="26" t="str">
        <f aca="false">INDEX(Datos_Departamento,MATCH(A15,Datos_ID,0))</f>
        <v>Ventas</v>
      </c>
      <c r="C15" s="26" t="s">
        <v>327</v>
      </c>
      <c r="D15" s="26" t="s">
        <v>327</v>
      </c>
      <c r="E15" s="26" t="s">
        <v>327</v>
      </c>
      <c r="F15" s="26" t="s">
        <v>327</v>
      </c>
      <c r="G15" s="26" t="s">
        <v>327</v>
      </c>
      <c r="H15" s="26" t="s">
        <v>327</v>
      </c>
    </row>
    <row r="16" customFormat="false" ht="15" hidden="false" customHeight="false" outlineLevel="0" collapsed="false">
      <c r="A16" s="26" t="s">
        <v>73</v>
      </c>
      <c r="B16" s="26" t="str">
        <f aca="false">INDEX(Datos_Departamento,MATCH(A16,Datos_ID,0))</f>
        <v>RRHH</v>
      </c>
      <c r="C16" s="26" t="s">
        <v>327</v>
      </c>
      <c r="D16" s="26" t="s">
        <v>327</v>
      </c>
      <c r="E16" s="26" t="s">
        <v>327</v>
      </c>
      <c r="F16" s="26" t="s">
        <v>327</v>
      </c>
      <c r="G16" s="26" t="s">
        <v>327</v>
      </c>
      <c r="H16" s="26" t="s">
        <v>327</v>
      </c>
    </row>
    <row r="17" customFormat="false" ht="15" hidden="false" customHeight="false" outlineLevel="0" collapsed="false">
      <c r="A17" s="26" t="s">
        <v>76</v>
      </c>
      <c r="B17" s="26" t="str">
        <f aca="false">INDEX(Datos_Departamento,MATCH(A17,Datos_ID,0))</f>
        <v>IT</v>
      </c>
      <c r="C17" s="26" t="s">
        <v>327</v>
      </c>
      <c r="D17" s="26" t="s">
        <v>328</v>
      </c>
      <c r="E17" s="26" t="s">
        <v>327</v>
      </c>
      <c r="F17" s="26" t="s">
        <v>327</v>
      </c>
      <c r="G17" s="26" t="s">
        <v>327</v>
      </c>
      <c r="H17" s="26" t="s">
        <v>327</v>
      </c>
    </row>
    <row r="18" customFormat="false" ht="15" hidden="false" customHeight="false" outlineLevel="0" collapsed="false">
      <c r="A18" s="26" t="s">
        <v>79</v>
      </c>
      <c r="B18" s="26" t="str">
        <f aca="false">INDEX(Datos_Departamento,MATCH(A18,Datos_ID,0))</f>
        <v>IT</v>
      </c>
      <c r="C18" s="26" t="s">
        <v>327</v>
      </c>
      <c r="D18" s="26" t="s">
        <v>327</v>
      </c>
      <c r="E18" s="26" t="s">
        <v>327</v>
      </c>
      <c r="F18" s="26" t="s">
        <v>327</v>
      </c>
      <c r="G18" s="26" t="s">
        <v>327</v>
      </c>
      <c r="H18" s="26" t="s">
        <v>327</v>
      </c>
    </row>
    <row r="19" customFormat="false" ht="15" hidden="false" customHeight="false" outlineLevel="0" collapsed="false">
      <c r="A19" s="26" t="s">
        <v>81</v>
      </c>
      <c r="B19" s="26" t="str">
        <f aca="false">INDEX(Datos_Departamento,MATCH(A19,Datos_ID,0))</f>
        <v>Ventas</v>
      </c>
      <c r="C19" s="26" t="s">
        <v>327</v>
      </c>
      <c r="D19" s="26" t="s">
        <v>327</v>
      </c>
      <c r="E19" s="26" t="s">
        <v>327</v>
      </c>
      <c r="F19" s="26" t="s">
        <v>327</v>
      </c>
      <c r="G19" s="26" t="s">
        <v>327</v>
      </c>
      <c r="H19" s="26" t="s">
        <v>327</v>
      </c>
    </row>
    <row r="20" customFormat="false" ht="15" hidden="false" customHeight="false" outlineLevel="0" collapsed="false">
      <c r="A20" s="26" t="s">
        <v>83</v>
      </c>
      <c r="B20" s="26" t="str">
        <f aca="false">INDEX(Datos_Departamento,MATCH(A20,Datos_ID,0))</f>
        <v>IT</v>
      </c>
      <c r="C20" s="26" t="s">
        <v>327</v>
      </c>
      <c r="D20" s="26" t="s">
        <v>327</v>
      </c>
      <c r="E20" s="26" t="s">
        <v>327</v>
      </c>
      <c r="F20" s="26" t="s">
        <v>327</v>
      </c>
      <c r="G20" s="26" t="s">
        <v>327</v>
      </c>
      <c r="H20" s="26" t="s">
        <v>327</v>
      </c>
    </row>
    <row r="21" customFormat="false" ht="15" hidden="false" customHeight="false" outlineLevel="0" collapsed="false">
      <c r="A21" s="26" t="s">
        <v>85</v>
      </c>
      <c r="B21" s="26" t="str">
        <f aca="false">INDEX(Datos_Departamento,MATCH(A21,Datos_ID,0))</f>
        <v>Ventas</v>
      </c>
      <c r="C21" s="26" t="s">
        <v>327</v>
      </c>
      <c r="D21" s="26" t="s">
        <v>327</v>
      </c>
      <c r="E21" s="26" t="s">
        <v>327</v>
      </c>
      <c r="F21" s="26" t="s">
        <v>327</v>
      </c>
      <c r="G21" s="26" t="s">
        <v>327</v>
      </c>
      <c r="H21" s="26" t="s">
        <v>327</v>
      </c>
    </row>
    <row r="22" customFormat="false" ht="15" hidden="false" customHeight="false" outlineLevel="0" collapsed="false">
      <c r="A22" s="26" t="s">
        <v>87</v>
      </c>
      <c r="B22" s="26" t="str">
        <f aca="false">INDEX(Datos_Departamento,MATCH(A22,Datos_ID,0))</f>
        <v>IT</v>
      </c>
      <c r="C22" s="26" t="s">
        <v>327</v>
      </c>
      <c r="D22" s="26" t="s">
        <v>327</v>
      </c>
      <c r="E22" s="26" t="s">
        <v>327</v>
      </c>
      <c r="F22" s="26" t="s">
        <v>327</v>
      </c>
      <c r="G22" s="26" t="s">
        <v>328</v>
      </c>
      <c r="H22" s="26" t="s">
        <v>327</v>
      </c>
    </row>
    <row r="23" customFormat="false" ht="15" hidden="false" customHeight="false" outlineLevel="0" collapsed="false">
      <c r="A23" s="26" t="s">
        <v>89</v>
      </c>
      <c r="B23" s="26" t="str">
        <f aca="false">INDEX(Datos_Departamento,MATCH(A23,Datos_ID,0))</f>
        <v>RRHH</v>
      </c>
      <c r="C23" s="26" t="s">
        <v>327</v>
      </c>
      <c r="D23" s="26" t="s">
        <v>327</v>
      </c>
      <c r="E23" s="26" t="s">
        <v>327</v>
      </c>
      <c r="F23" s="26" t="s">
        <v>327</v>
      </c>
      <c r="G23" s="26" t="s">
        <v>327</v>
      </c>
      <c r="H23" s="26" t="s">
        <v>327</v>
      </c>
    </row>
    <row r="24" customFormat="false" ht="15" hidden="false" customHeight="false" outlineLevel="0" collapsed="false">
      <c r="A24" s="26" t="s">
        <v>92</v>
      </c>
      <c r="B24" s="26" t="str">
        <f aca="false">INDEX(Datos_Departamento,MATCH(A24,Datos_ID,0))</f>
        <v>Operaciones</v>
      </c>
      <c r="C24" s="26" t="s">
        <v>327</v>
      </c>
      <c r="D24" s="26" t="s">
        <v>327</v>
      </c>
      <c r="E24" s="26" t="s">
        <v>327</v>
      </c>
      <c r="F24" s="26" t="s">
        <v>327</v>
      </c>
      <c r="G24" s="26" t="s">
        <v>327</v>
      </c>
      <c r="H24" s="26" t="s">
        <v>327</v>
      </c>
    </row>
    <row r="25" customFormat="false" ht="15" hidden="false" customHeight="false" outlineLevel="0" collapsed="false">
      <c r="A25" s="26" t="s">
        <v>94</v>
      </c>
      <c r="B25" s="26" t="str">
        <f aca="false">INDEX(Datos_Departamento,MATCH(A25,Datos_ID,0))</f>
        <v>Operaciones</v>
      </c>
      <c r="C25" s="26" t="s">
        <v>327</v>
      </c>
      <c r="D25" s="26" t="s">
        <v>327</v>
      </c>
      <c r="E25" s="26" t="s">
        <v>327</v>
      </c>
      <c r="F25" s="26" t="s">
        <v>327</v>
      </c>
      <c r="G25" s="26" t="s">
        <v>327</v>
      </c>
      <c r="H25" s="26" t="s">
        <v>327</v>
      </c>
    </row>
    <row r="26" customFormat="false" ht="15" hidden="false" customHeight="false" outlineLevel="0" collapsed="false">
      <c r="A26" s="26" t="s">
        <v>96</v>
      </c>
      <c r="B26" s="26" t="str">
        <f aca="false">INDEX(Datos_Departamento,MATCH(A26,Datos_ID,0))</f>
        <v>Finanzas</v>
      </c>
      <c r="C26" s="26" t="s">
        <v>327</v>
      </c>
      <c r="D26" s="26" t="s">
        <v>327</v>
      </c>
      <c r="E26" s="26" t="s">
        <v>327</v>
      </c>
      <c r="F26" s="26" t="s">
        <v>327</v>
      </c>
      <c r="G26" s="26" t="s">
        <v>327</v>
      </c>
      <c r="H26" s="26" t="s">
        <v>327</v>
      </c>
    </row>
    <row r="27" customFormat="false" ht="15" hidden="false" customHeight="false" outlineLevel="0" collapsed="false">
      <c r="A27" s="26" t="s">
        <v>100</v>
      </c>
      <c r="B27" s="26" t="str">
        <f aca="false">INDEX(Datos_Departamento,MATCH(A27,Datos_ID,0))</f>
        <v>Ventas</v>
      </c>
      <c r="C27" s="26" t="s">
        <v>327</v>
      </c>
      <c r="D27" s="26" t="s">
        <v>327</v>
      </c>
      <c r="E27" s="26" t="s">
        <v>327</v>
      </c>
      <c r="F27" s="26" t="s">
        <v>327</v>
      </c>
      <c r="G27" s="26" t="s">
        <v>327</v>
      </c>
      <c r="H27" s="26" t="s">
        <v>327</v>
      </c>
    </row>
    <row r="28" customFormat="false" ht="15" hidden="false" customHeight="false" outlineLevel="0" collapsed="false">
      <c r="A28" s="26" t="s">
        <v>102</v>
      </c>
      <c r="B28" s="26" t="str">
        <f aca="false">INDEX(Datos_Departamento,MATCH(A28,Datos_ID,0))</f>
        <v>RRHH</v>
      </c>
      <c r="C28" s="26" t="s">
        <v>327</v>
      </c>
      <c r="D28" s="26" t="s">
        <v>327</v>
      </c>
      <c r="E28" s="26" t="s">
        <v>327</v>
      </c>
      <c r="F28" s="26" t="s">
        <v>327</v>
      </c>
      <c r="G28" s="26" t="s">
        <v>327</v>
      </c>
      <c r="H28" s="26" t="s">
        <v>327</v>
      </c>
    </row>
    <row r="29" customFormat="false" ht="15" hidden="false" customHeight="false" outlineLevel="0" collapsed="false">
      <c r="A29" s="26" t="s">
        <v>104</v>
      </c>
      <c r="B29" s="26" t="str">
        <f aca="false">INDEX(Datos_Departamento,MATCH(A29,Datos_ID,0))</f>
        <v>IT</v>
      </c>
      <c r="C29" s="26" t="s">
        <v>327</v>
      </c>
      <c r="D29" s="26" t="s">
        <v>327</v>
      </c>
      <c r="E29" s="26" t="s">
        <v>327</v>
      </c>
      <c r="F29" s="26" t="s">
        <v>327</v>
      </c>
      <c r="G29" s="26" t="s">
        <v>327</v>
      </c>
      <c r="H29" s="26" t="s">
        <v>327</v>
      </c>
    </row>
    <row r="30" customFormat="false" ht="15" hidden="false" customHeight="false" outlineLevel="0" collapsed="false">
      <c r="A30" s="26" t="s">
        <v>106</v>
      </c>
      <c r="B30" s="26" t="str">
        <f aca="false">INDEX(Datos_Departamento,MATCH(A30,Datos_ID,0))</f>
        <v>RRHH</v>
      </c>
      <c r="C30" s="26" t="s">
        <v>327</v>
      </c>
      <c r="D30" s="26" t="s">
        <v>327</v>
      </c>
      <c r="E30" s="26" t="s">
        <v>327</v>
      </c>
      <c r="F30" s="26" t="s">
        <v>327</v>
      </c>
      <c r="G30" s="26" t="s">
        <v>327</v>
      </c>
      <c r="H30" s="26" t="s">
        <v>327</v>
      </c>
    </row>
    <row r="31" customFormat="false" ht="15" hidden="false" customHeight="false" outlineLevel="0" collapsed="false">
      <c r="A31" s="26" t="s">
        <v>108</v>
      </c>
      <c r="B31" s="26" t="str">
        <f aca="false">INDEX(Datos_Departamento,MATCH(A31,Datos_ID,0))</f>
        <v>IT</v>
      </c>
      <c r="C31" s="26" t="s">
        <v>327</v>
      </c>
      <c r="D31" s="26" t="s">
        <v>327</v>
      </c>
      <c r="E31" s="26" t="s">
        <v>327</v>
      </c>
      <c r="F31" s="26" t="s">
        <v>327</v>
      </c>
      <c r="G31" s="26" t="s">
        <v>327</v>
      </c>
      <c r="H31" s="26" t="s">
        <v>327</v>
      </c>
    </row>
    <row r="32" customFormat="false" ht="15" hidden="false" customHeight="false" outlineLevel="0" collapsed="false">
      <c r="A32" s="26" t="s">
        <v>110</v>
      </c>
      <c r="B32" s="26" t="str">
        <f aca="false">INDEX(Datos_Departamento,MATCH(A32,Datos_ID,0))</f>
        <v>RRHH</v>
      </c>
      <c r="C32" s="26" t="s">
        <v>327</v>
      </c>
      <c r="D32" s="26" t="s">
        <v>327</v>
      </c>
      <c r="E32" s="26" t="s">
        <v>327</v>
      </c>
      <c r="F32" s="26" t="s">
        <v>327</v>
      </c>
      <c r="G32" s="26" t="s">
        <v>327</v>
      </c>
      <c r="H32" s="26" t="s">
        <v>327</v>
      </c>
    </row>
    <row r="33" customFormat="false" ht="15" hidden="false" customHeight="false" outlineLevel="0" collapsed="false">
      <c r="A33" s="26" t="s">
        <v>112</v>
      </c>
      <c r="B33" s="26" t="str">
        <f aca="false">INDEX(Datos_Departamento,MATCH(A33,Datos_ID,0))</f>
        <v>RRHH</v>
      </c>
      <c r="C33" s="26" t="s">
        <v>327</v>
      </c>
      <c r="D33" s="26" t="s">
        <v>327</v>
      </c>
      <c r="E33" s="26" t="s">
        <v>327</v>
      </c>
      <c r="F33" s="26" t="s">
        <v>327</v>
      </c>
      <c r="G33" s="26" t="s">
        <v>327</v>
      </c>
      <c r="H33" s="26" t="s">
        <v>327</v>
      </c>
    </row>
    <row r="34" customFormat="false" ht="15" hidden="false" customHeight="false" outlineLevel="0" collapsed="false">
      <c r="A34" s="26" t="s">
        <v>114</v>
      </c>
      <c r="B34" s="26" t="str">
        <f aca="false">INDEX(Datos_Departamento,MATCH(A34,Datos_ID,0))</f>
        <v>Ventas</v>
      </c>
      <c r="C34" s="26" t="s">
        <v>327</v>
      </c>
      <c r="D34" s="26" t="s">
        <v>327</v>
      </c>
      <c r="E34" s="26" t="s">
        <v>327</v>
      </c>
      <c r="F34" s="26" t="s">
        <v>327</v>
      </c>
      <c r="G34" s="26" t="s">
        <v>327</v>
      </c>
      <c r="H34" s="26" t="s">
        <v>327</v>
      </c>
    </row>
    <row r="35" customFormat="false" ht="15" hidden="false" customHeight="false" outlineLevel="0" collapsed="false">
      <c r="A35" s="26" t="s">
        <v>116</v>
      </c>
      <c r="B35" s="26" t="str">
        <f aca="false">INDEX(Datos_Departamento,MATCH(A35,Datos_ID,0))</f>
        <v>IT</v>
      </c>
      <c r="C35" s="26" t="s">
        <v>327</v>
      </c>
      <c r="D35" s="26" t="s">
        <v>327</v>
      </c>
      <c r="E35" s="26" t="s">
        <v>327</v>
      </c>
      <c r="F35" s="26" t="s">
        <v>327</v>
      </c>
      <c r="G35" s="26" t="s">
        <v>327</v>
      </c>
      <c r="H35" s="26" t="s">
        <v>327</v>
      </c>
    </row>
    <row r="36" customFormat="false" ht="15" hidden="false" customHeight="false" outlineLevel="0" collapsed="false">
      <c r="A36" s="26" t="s">
        <v>118</v>
      </c>
      <c r="B36" s="26" t="str">
        <f aca="false">INDEX(Datos_Departamento,MATCH(A36,Datos_ID,0))</f>
        <v>Finanzas</v>
      </c>
      <c r="C36" s="26" t="s">
        <v>327</v>
      </c>
      <c r="D36" s="26" t="s">
        <v>327</v>
      </c>
      <c r="E36" s="26" t="s">
        <v>327</v>
      </c>
      <c r="F36" s="26" t="s">
        <v>327</v>
      </c>
      <c r="G36" s="26" t="s">
        <v>327</v>
      </c>
      <c r="H36" s="26" t="s">
        <v>327</v>
      </c>
    </row>
    <row r="37" customFormat="false" ht="15" hidden="false" customHeight="false" outlineLevel="0" collapsed="false">
      <c r="A37" s="26" t="s">
        <v>120</v>
      </c>
      <c r="B37" s="26" t="str">
        <f aca="false">INDEX(Datos_Departamento,MATCH(A37,Datos_ID,0))</f>
        <v>Operaciones</v>
      </c>
      <c r="C37" s="26" t="s">
        <v>327</v>
      </c>
      <c r="D37" s="26" t="s">
        <v>327</v>
      </c>
      <c r="E37" s="26" t="s">
        <v>327</v>
      </c>
      <c r="F37" s="26" t="s">
        <v>327</v>
      </c>
      <c r="G37" s="26" t="s">
        <v>327</v>
      </c>
      <c r="H37" s="26" t="s">
        <v>327</v>
      </c>
    </row>
    <row r="38" customFormat="false" ht="15" hidden="false" customHeight="false" outlineLevel="0" collapsed="false">
      <c r="A38" s="26" t="s">
        <v>122</v>
      </c>
      <c r="B38" s="26" t="str">
        <f aca="false">INDEX(Datos_Departamento,MATCH(A38,Datos_ID,0))</f>
        <v>Finanzas</v>
      </c>
      <c r="C38" s="26" t="s">
        <v>327</v>
      </c>
      <c r="D38" s="26" t="s">
        <v>327</v>
      </c>
      <c r="E38" s="26" t="s">
        <v>327</v>
      </c>
      <c r="F38" s="26" t="s">
        <v>327</v>
      </c>
      <c r="G38" s="26" t="s">
        <v>327</v>
      </c>
      <c r="H38" s="26" t="s">
        <v>327</v>
      </c>
    </row>
    <row r="39" customFormat="false" ht="15" hidden="false" customHeight="false" outlineLevel="0" collapsed="false">
      <c r="A39" s="26" t="s">
        <v>124</v>
      </c>
      <c r="B39" s="26" t="str">
        <f aca="false">INDEX(Datos_Departamento,MATCH(A39,Datos_ID,0))</f>
        <v>Finanzas</v>
      </c>
      <c r="C39" s="26" t="s">
        <v>327</v>
      </c>
      <c r="D39" s="26" t="s">
        <v>327</v>
      </c>
      <c r="E39" s="26" t="s">
        <v>327</v>
      </c>
      <c r="F39" s="26" t="s">
        <v>327</v>
      </c>
      <c r="G39" s="26" t="s">
        <v>327</v>
      </c>
      <c r="H39" s="26" t="s">
        <v>327</v>
      </c>
    </row>
    <row r="40" customFormat="false" ht="15" hidden="false" customHeight="false" outlineLevel="0" collapsed="false">
      <c r="A40" s="26" t="s">
        <v>127</v>
      </c>
      <c r="B40" s="26" t="str">
        <f aca="false">INDEX(Datos_Departamento,MATCH(A40,Datos_ID,0))</f>
        <v>IT</v>
      </c>
      <c r="C40" s="26" t="s">
        <v>327</v>
      </c>
      <c r="D40" s="26" t="s">
        <v>327</v>
      </c>
      <c r="E40" s="26" t="s">
        <v>327</v>
      </c>
      <c r="F40" s="26" t="s">
        <v>327</v>
      </c>
      <c r="G40" s="26" t="s">
        <v>327</v>
      </c>
      <c r="H40" s="26" t="s">
        <v>327</v>
      </c>
    </row>
    <row r="41" customFormat="false" ht="15" hidden="false" customHeight="false" outlineLevel="0" collapsed="false">
      <c r="A41" s="26" t="s">
        <v>129</v>
      </c>
      <c r="B41" s="26" t="str">
        <f aca="false">INDEX(Datos_Departamento,MATCH(A41,Datos_ID,0))</f>
        <v>Operaciones</v>
      </c>
      <c r="C41" s="26" t="s">
        <v>327</v>
      </c>
      <c r="D41" s="26" t="s">
        <v>327</v>
      </c>
      <c r="E41" s="26" t="s">
        <v>327</v>
      </c>
      <c r="F41" s="26" t="s">
        <v>327</v>
      </c>
      <c r="G41" s="26" t="s">
        <v>327</v>
      </c>
      <c r="H41" s="26" t="s">
        <v>327</v>
      </c>
    </row>
    <row r="42" customFormat="false" ht="15" hidden="false" customHeight="false" outlineLevel="0" collapsed="false">
      <c r="A42" s="26" t="s">
        <v>132</v>
      </c>
      <c r="B42" s="26" t="str">
        <f aca="false">INDEX(Datos_Departamento,MATCH(A42,Datos_ID,0))</f>
        <v>IT</v>
      </c>
      <c r="C42" s="26" t="s">
        <v>327</v>
      </c>
      <c r="D42" s="26" t="s">
        <v>327</v>
      </c>
      <c r="E42" s="26" t="s">
        <v>327</v>
      </c>
      <c r="F42" s="26" t="s">
        <v>327</v>
      </c>
      <c r="G42" s="26" t="s">
        <v>327</v>
      </c>
      <c r="H42" s="26" t="s">
        <v>327</v>
      </c>
    </row>
    <row r="43" customFormat="false" ht="15" hidden="false" customHeight="false" outlineLevel="0" collapsed="false">
      <c r="A43" s="26" t="s">
        <v>134</v>
      </c>
      <c r="B43" s="26" t="str">
        <f aca="false">INDEX(Datos_Departamento,MATCH(A43,Datos_ID,0))</f>
        <v>IT</v>
      </c>
      <c r="C43" s="26" t="s">
        <v>327</v>
      </c>
      <c r="D43" s="26" t="s">
        <v>327</v>
      </c>
      <c r="E43" s="26" t="s">
        <v>327</v>
      </c>
      <c r="F43" s="26" t="s">
        <v>327</v>
      </c>
      <c r="G43" s="26" t="s">
        <v>327</v>
      </c>
      <c r="H43" s="26" t="s">
        <v>327</v>
      </c>
    </row>
    <row r="44" customFormat="false" ht="15" hidden="false" customHeight="false" outlineLevel="0" collapsed="false">
      <c r="A44" s="26" t="s">
        <v>136</v>
      </c>
      <c r="B44" s="26" t="str">
        <f aca="false">INDEX(Datos_Departamento,MATCH(A44,Datos_ID,0))</f>
        <v>RRHH</v>
      </c>
      <c r="C44" s="26" t="s">
        <v>327</v>
      </c>
      <c r="D44" s="26" t="s">
        <v>327</v>
      </c>
      <c r="E44" s="26" t="s">
        <v>327</v>
      </c>
      <c r="F44" s="26" t="s">
        <v>327</v>
      </c>
      <c r="G44" s="26" t="s">
        <v>327</v>
      </c>
      <c r="H44" s="26" t="s">
        <v>327</v>
      </c>
    </row>
    <row r="45" customFormat="false" ht="15" hidden="false" customHeight="false" outlineLevel="0" collapsed="false">
      <c r="A45" s="26" t="s">
        <v>138</v>
      </c>
      <c r="B45" s="26" t="str">
        <f aca="false">INDEX(Datos_Departamento,MATCH(A45,Datos_ID,0))</f>
        <v>RRHH</v>
      </c>
      <c r="C45" s="26" t="s">
        <v>327</v>
      </c>
      <c r="D45" s="26" t="s">
        <v>327</v>
      </c>
      <c r="E45" s="26" t="s">
        <v>327</v>
      </c>
      <c r="F45" s="26" t="s">
        <v>327</v>
      </c>
      <c r="G45" s="26" t="s">
        <v>327</v>
      </c>
      <c r="H45" s="26" t="s">
        <v>327</v>
      </c>
    </row>
    <row r="46" customFormat="false" ht="15" hidden="false" customHeight="false" outlineLevel="0" collapsed="false">
      <c r="A46" s="26" t="s">
        <v>140</v>
      </c>
      <c r="B46" s="26" t="str">
        <f aca="false">INDEX(Datos_Departamento,MATCH(A46,Datos_ID,0))</f>
        <v>Finanzas</v>
      </c>
      <c r="C46" s="26" t="s">
        <v>327</v>
      </c>
      <c r="D46" s="26" t="s">
        <v>327</v>
      </c>
      <c r="E46" s="26" t="s">
        <v>327</v>
      </c>
      <c r="F46" s="26" t="s">
        <v>327</v>
      </c>
      <c r="G46" s="26" t="s">
        <v>327</v>
      </c>
      <c r="H46" s="26" t="s">
        <v>327</v>
      </c>
    </row>
    <row r="47" customFormat="false" ht="15" hidden="false" customHeight="false" outlineLevel="0" collapsed="false">
      <c r="A47" s="26" t="s">
        <v>143</v>
      </c>
      <c r="B47" s="26" t="str">
        <f aca="false">INDEX(Datos_Departamento,MATCH(A47,Datos_ID,0))</f>
        <v>IT</v>
      </c>
      <c r="C47" s="26" t="s">
        <v>327</v>
      </c>
      <c r="D47" s="26" t="s">
        <v>327</v>
      </c>
      <c r="E47" s="26" t="s">
        <v>327</v>
      </c>
      <c r="F47" s="26" t="s">
        <v>327</v>
      </c>
      <c r="G47" s="26" t="s">
        <v>327</v>
      </c>
      <c r="H47" s="26" t="s">
        <v>327</v>
      </c>
    </row>
    <row r="48" customFormat="false" ht="15" hidden="false" customHeight="false" outlineLevel="0" collapsed="false">
      <c r="A48" s="26" t="s">
        <v>145</v>
      </c>
      <c r="B48" s="26" t="str">
        <f aca="false">INDEX(Datos_Departamento,MATCH(A48,Datos_ID,0))</f>
        <v>IT</v>
      </c>
      <c r="C48" s="26" t="s">
        <v>327</v>
      </c>
      <c r="D48" s="26" t="s">
        <v>327</v>
      </c>
      <c r="E48" s="26" t="s">
        <v>327</v>
      </c>
      <c r="F48" s="26" t="s">
        <v>327</v>
      </c>
      <c r="G48" s="26" t="s">
        <v>327</v>
      </c>
      <c r="H48" s="26" t="s">
        <v>327</v>
      </c>
    </row>
    <row r="49" customFormat="false" ht="15" hidden="false" customHeight="false" outlineLevel="0" collapsed="false">
      <c r="A49" s="26" t="s">
        <v>147</v>
      </c>
      <c r="B49" s="26" t="str">
        <f aca="false">INDEX(Datos_Departamento,MATCH(A49,Datos_ID,0))</f>
        <v>Ventas</v>
      </c>
      <c r="C49" s="26" t="s">
        <v>327</v>
      </c>
      <c r="D49" s="26" t="s">
        <v>327</v>
      </c>
      <c r="E49" s="26" t="s">
        <v>328</v>
      </c>
      <c r="F49" s="26" t="s">
        <v>327</v>
      </c>
      <c r="G49" s="26" t="s">
        <v>327</v>
      </c>
      <c r="H49" s="26" t="s">
        <v>327</v>
      </c>
    </row>
    <row r="50" customFormat="false" ht="15" hidden="false" customHeight="false" outlineLevel="0" collapsed="false">
      <c r="A50" s="26" t="s">
        <v>149</v>
      </c>
      <c r="B50" s="26" t="str">
        <f aca="false">INDEX(Datos_Departamento,MATCH(A50,Datos_ID,0))</f>
        <v>Finanzas</v>
      </c>
      <c r="C50" s="26" t="s">
        <v>327</v>
      </c>
      <c r="D50" s="26" t="s">
        <v>327</v>
      </c>
      <c r="E50" s="26" t="s">
        <v>327</v>
      </c>
      <c r="F50" s="26" t="s">
        <v>327</v>
      </c>
      <c r="G50" s="26" t="s">
        <v>327</v>
      </c>
      <c r="H50" s="26" t="s">
        <v>327</v>
      </c>
    </row>
    <row r="51" customFormat="false" ht="15" hidden="false" customHeight="false" outlineLevel="0" collapsed="false">
      <c r="A51" s="26" t="s">
        <v>151</v>
      </c>
      <c r="B51" s="26" t="str">
        <f aca="false">INDEX(Datos_Departamento,MATCH(A51,Datos_ID,0))</f>
        <v>Operaciones</v>
      </c>
      <c r="C51" s="26" t="s">
        <v>327</v>
      </c>
      <c r="D51" s="26" t="s">
        <v>327</v>
      </c>
      <c r="E51" s="26" t="s">
        <v>327</v>
      </c>
      <c r="F51" s="26" t="s">
        <v>327</v>
      </c>
      <c r="G51" s="26" t="s">
        <v>327</v>
      </c>
      <c r="H51" s="26" t="s">
        <v>327</v>
      </c>
    </row>
    <row r="52" customFormat="false" ht="15" hidden="false" customHeight="false" outlineLevel="0" collapsed="false">
      <c r="A52" s="26" t="s">
        <v>153</v>
      </c>
      <c r="B52" s="26" t="str">
        <f aca="false">INDEX(Datos_Departamento,MATCH(A52,Datos_ID,0))</f>
        <v>IT</v>
      </c>
      <c r="C52" s="26" t="s">
        <v>327</v>
      </c>
      <c r="D52" s="26" t="s">
        <v>327</v>
      </c>
      <c r="E52" s="26" t="s">
        <v>327</v>
      </c>
      <c r="F52" s="26" t="s">
        <v>327</v>
      </c>
      <c r="G52" s="26" t="s">
        <v>327</v>
      </c>
      <c r="H52" s="26" t="s">
        <v>327</v>
      </c>
    </row>
    <row r="53" customFormat="false" ht="15" hidden="false" customHeight="false" outlineLevel="0" collapsed="false">
      <c r="A53" s="26" t="s">
        <v>155</v>
      </c>
      <c r="B53" s="26" t="str">
        <f aca="false">INDEX(Datos_Departamento,MATCH(A53,Datos_ID,0))</f>
        <v>Finanzas</v>
      </c>
      <c r="C53" s="26" t="s">
        <v>327</v>
      </c>
      <c r="D53" s="26" t="s">
        <v>328</v>
      </c>
      <c r="E53" s="26" t="s">
        <v>327</v>
      </c>
      <c r="F53" s="26" t="s">
        <v>327</v>
      </c>
      <c r="G53" s="26" t="s">
        <v>327</v>
      </c>
      <c r="H53" s="26" t="s">
        <v>327</v>
      </c>
    </row>
    <row r="54" customFormat="false" ht="15" hidden="false" customHeight="false" outlineLevel="0" collapsed="false">
      <c r="A54" s="26" t="s">
        <v>157</v>
      </c>
      <c r="B54" s="26" t="str">
        <f aca="false">INDEX(Datos_Departamento,MATCH(A54,Datos_ID,0))</f>
        <v>Operaciones</v>
      </c>
      <c r="C54" s="26" t="s">
        <v>327</v>
      </c>
      <c r="D54" s="26" t="s">
        <v>327</v>
      </c>
      <c r="E54" s="26" t="s">
        <v>327</v>
      </c>
      <c r="F54" s="26" t="s">
        <v>327</v>
      </c>
      <c r="G54" s="26" t="s">
        <v>327</v>
      </c>
      <c r="H54" s="26" t="s">
        <v>327</v>
      </c>
    </row>
    <row r="55" customFormat="false" ht="15" hidden="false" customHeight="false" outlineLevel="0" collapsed="false">
      <c r="A55" s="26" t="s">
        <v>159</v>
      </c>
      <c r="B55" s="26" t="str">
        <f aca="false">INDEX(Datos_Departamento,MATCH(A55,Datos_ID,0))</f>
        <v>Ventas</v>
      </c>
      <c r="C55" s="26" t="s">
        <v>327</v>
      </c>
      <c r="D55" s="26" t="s">
        <v>327</v>
      </c>
      <c r="E55" s="26" t="s">
        <v>327</v>
      </c>
      <c r="F55" s="26" t="s">
        <v>327</v>
      </c>
      <c r="G55" s="26" t="s">
        <v>327</v>
      </c>
      <c r="H55" s="26" t="s">
        <v>327</v>
      </c>
    </row>
    <row r="56" customFormat="false" ht="15" hidden="false" customHeight="false" outlineLevel="0" collapsed="false">
      <c r="A56" s="26" t="s">
        <v>161</v>
      </c>
      <c r="B56" s="26" t="str">
        <f aca="false">INDEX(Datos_Departamento,MATCH(A56,Datos_ID,0))</f>
        <v>IT</v>
      </c>
      <c r="C56" s="26" t="s">
        <v>327</v>
      </c>
      <c r="D56" s="26" t="s">
        <v>327</v>
      </c>
      <c r="E56" s="26" t="s">
        <v>327</v>
      </c>
      <c r="F56" s="26" t="s">
        <v>327</v>
      </c>
      <c r="G56" s="26" t="s">
        <v>327</v>
      </c>
      <c r="H56" s="26" t="s">
        <v>327</v>
      </c>
    </row>
    <row r="57" customFormat="false" ht="15" hidden="false" customHeight="false" outlineLevel="0" collapsed="false">
      <c r="A57" s="26" t="s">
        <v>163</v>
      </c>
      <c r="B57" s="26" t="str">
        <f aca="false">INDEX(Datos_Departamento,MATCH(A57,Datos_ID,0))</f>
        <v>Operaciones</v>
      </c>
      <c r="C57" s="26" t="s">
        <v>327</v>
      </c>
      <c r="D57" s="26" t="s">
        <v>327</v>
      </c>
      <c r="E57" s="26" t="s">
        <v>327</v>
      </c>
      <c r="F57" s="26" t="s">
        <v>327</v>
      </c>
      <c r="G57" s="26" t="s">
        <v>327</v>
      </c>
      <c r="H57" s="26" t="s">
        <v>327</v>
      </c>
    </row>
    <row r="58" customFormat="false" ht="15" hidden="false" customHeight="false" outlineLevel="0" collapsed="false">
      <c r="A58" s="26" t="s">
        <v>165</v>
      </c>
      <c r="B58" s="26" t="str">
        <f aca="false">INDEX(Datos_Departamento,MATCH(A58,Datos_ID,0))</f>
        <v>Finanzas</v>
      </c>
      <c r="C58" s="26" t="s">
        <v>327</v>
      </c>
      <c r="D58" s="26" t="s">
        <v>327</v>
      </c>
      <c r="E58" s="26" t="s">
        <v>327</v>
      </c>
      <c r="F58" s="26" t="s">
        <v>328</v>
      </c>
      <c r="G58" s="26" t="s">
        <v>327</v>
      </c>
      <c r="H58" s="26" t="s">
        <v>327</v>
      </c>
    </row>
    <row r="59" customFormat="false" ht="15" hidden="false" customHeight="false" outlineLevel="0" collapsed="false">
      <c r="A59" s="26" t="s">
        <v>167</v>
      </c>
      <c r="B59" s="26" t="str">
        <f aca="false">INDEX(Datos_Departamento,MATCH(A59,Datos_ID,0))</f>
        <v>RRHH</v>
      </c>
      <c r="C59" s="26" t="s">
        <v>327</v>
      </c>
      <c r="D59" s="26" t="s">
        <v>327</v>
      </c>
      <c r="E59" s="26" t="s">
        <v>327</v>
      </c>
      <c r="F59" s="26" t="s">
        <v>327</v>
      </c>
      <c r="G59" s="26" t="s">
        <v>327</v>
      </c>
      <c r="H59" s="26" t="s">
        <v>327</v>
      </c>
    </row>
    <row r="60" customFormat="false" ht="15" hidden="false" customHeight="false" outlineLevel="0" collapsed="false">
      <c r="A60" s="26" t="s">
        <v>169</v>
      </c>
      <c r="B60" s="26" t="str">
        <f aca="false">INDEX(Datos_Departamento,MATCH(A60,Datos_ID,0))</f>
        <v>RRHH</v>
      </c>
      <c r="C60" s="26" t="s">
        <v>327</v>
      </c>
      <c r="D60" s="26" t="s">
        <v>327</v>
      </c>
      <c r="E60" s="26" t="s">
        <v>327</v>
      </c>
      <c r="F60" s="26" t="s">
        <v>327</v>
      </c>
      <c r="G60" s="26" t="s">
        <v>327</v>
      </c>
      <c r="H60" s="26" t="s">
        <v>327</v>
      </c>
    </row>
    <row r="61" customFormat="false" ht="15" hidden="false" customHeight="false" outlineLevel="0" collapsed="false">
      <c r="A61" s="26" t="s">
        <v>171</v>
      </c>
      <c r="B61" s="26" t="str">
        <f aca="false">INDEX(Datos_Departamento,MATCH(A61,Datos_ID,0))</f>
        <v>RRHH</v>
      </c>
      <c r="C61" s="26" t="s">
        <v>327</v>
      </c>
      <c r="D61" s="26" t="s">
        <v>327</v>
      </c>
      <c r="E61" s="26" t="s">
        <v>327</v>
      </c>
      <c r="F61" s="26" t="s">
        <v>327</v>
      </c>
      <c r="G61" s="26" t="s">
        <v>327</v>
      </c>
      <c r="H61" s="26" t="s">
        <v>327</v>
      </c>
    </row>
    <row r="62" customFormat="false" ht="15" hidden="false" customHeight="false" outlineLevel="0" collapsed="false">
      <c r="A62" s="26" t="s">
        <v>174</v>
      </c>
      <c r="B62" s="26" t="str">
        <f aca="false">INDEX(Datos_Departamento,MATCH(A62,Datos_ID,0))</f>
        <v>IT</v>
      </c>
      <c r="C62" s="26" t="s">
        <v>327</v>
      </c>
      <c r="D62" s="26" t="s">
        <v>327</v>
      </c>
      <c r="E62" s="26" t="s">
        <v>327</v>
      </c>
      <c r="F62" s="26" t="s">
        <v>327</v>
      </c>
      <c r="G62" s="26" t="s">
        <v>327</v>
      </c>
      <c r="H62" s="26" t="s">
        <v>327</v>
      </c>
    </row>
    <row r="63" customFormat="false" ht="15" hidden="false" customHeight="false" outlineLevel="0" collapsed="false">
      <c r="A63" s="26" t="s">
        <v>176</v>
      </c>
      <c r="B63" s="26" t="str">
        <f aca="false">INDEX(Datos_Departamento,MATCH(A63,Datos_ID,0))</f>
        <v>Ventas</v>
      </c>
      <c r="C63" s="26" t="s">
        <v>327</v>
      </c>
      <c r="D63" s="26" t="s">
        <v>327</v>
      </c>
      <c r="E63" s="26" t="s">
        <v>327</v>
      </c>
      <c r="F63" s="26" t="s">
        <v>327</v>
      </c>
      <c r="G63" s="26" t="s">
        <v>327</v>
      </c>
      <c r="H63" s="26" t="s">
        <v>327</v>
      </c>
    </row>
    <row r="64" customFormat="false" ht="15" hidden="false" customHeight="false" outlineLevel="0" collapsed="false">
      <c r="A64" s="26" t="s">
        <v>178</v>
      </c>
      <c r="B64" s="26" t="str">
        <f aca="false">INDEX(Datos_Departamento,MATCH(A64,Datos_ID,0))</f>
        <v>RRHH</v>
      </c>
      <c r="C64" s="26" t="s">
        <v>327</v>
      </c>
      <c r="D64" s="26" t="s">
        <v>327</v>
      </c>
      <c r="E64" s="26" t="s">
        <v>327</v>
      </c>
      <c r="F64" s="26" t="s">
        <v>327</v>
      </c>
      <c r="G64" s="26" t="s">
        <v>327</v>
      </c>
      <c r="H64" s="26" t="s">
        <v>327</v>
      </c>
    </row>
    <row r="65" customFormat="false" ht="15" hidden="false" customHeight="false" outlineLevel="0" collapsed="false">
      <c r="A65" s="26" t="s">
        <v>180</v>
      </c>
      <c r="B65" s="26" t="str">
        <f aca="false">INDEX(Datos_Departamento,MATCH(A65,Datos_ID,0))</f>
        <v>Finanzas</v>
      </c>
      <c r="C65" s="26" t="s">
        <v>327</v>
      </c>
      <c r="D65" s="26" t="s">
        <v>327</v>
      </c>
      <c r="E65" s="26" t="s">
        <v>327</v>
      </c>
      <c r="F65" s="26" t="s">
        <v>327</v>
      </c>
      <c r="G65" s="26" t="s">
        <v>327</v>
      </c>
      <c r="H65" s="26" t="s">
        <v>327</v>
      </c>
    </row>
    <row r="66" customFormat="false" ht="15" hidden="false" customHeight="false" outlineLevel="0" collapsed="false">
      <c r="A66" s="26" t="s">
        <v>182</v>
      </c>
      <c r="B66" s="26" t="str">
        <f aca="false">INDEX(Datos_Departamento,MATCH(A66,Datos_ID,0))</f>
        <v>IT</v>
      </c>
      <c r="C66" s="26" t="s">
        <v>327</v>
      </c>
      <c r="D66" s="26" t="s">
        <v>327</v>
      </c>
      <c r="E66" s="26" t="s">
        <v>327</v>
      </c>
      <c r="F66" s="26" t="s">
        <v>327</v>
      </c>
      <c r="G66" s="26" t="s">
        <v>327</v>
      </c>
      <c r="H66" s="26" t="s">
        <v>327</v>
      </c>
    </row>
    <row r="67" customFormat="false" ht="15" hidden="false" customHeight="false" outlineLevel="0" collapsed="false">
      <c r="A67" s="26" t="s">
        <v>184</v>
      </c>
      <c r="B67" s="26" t="str">
        <f aca="false">INDEX(Datos_Departamento,MATCH(A67,Datos_ID,0))</f>
        <v>IT</v>
      </c>
      <c r="C67" s="26" t="s">
        <v>327</v>
      </c>
      <c r="D67" s="26" t="s">
        <v>327</v>
      </c>
      <c r="E67" s="26" t="s">
        <v>327</v>
      </c>
      <c r="F67" s="26" t="s">
        <v>327</v>
      </c>
      <c r="G67" s="26" t="s">
        <v>327</v>
      </c>
      <c r="H67" s="26" t="s">
        <v>327</v>
      </c>
    </row>
    <row r="68" customFormat="false" ht="15" hidden="false" customHeight="false" outlineLevel="0" collapsed="false">
      <c r="A68" s="26" t="s">
        <v>186</v>
      </c>
      <c r="B68" s="26" t="str">
        <f aca="false">INDEX(Datos_Departamento,MATCH(A68,Datos_ID,0))</f>
        <v>RRHH</v>
      </c>
      <c r="C68" s="26" t="s">
        <v>328</v>
      </c>
      <c r="D68" s="26" t="s">
        <v>327</v>
      </c>
      <c r="E68" s="26" t="s">
        <v>327</v>
      </c>
      <c r="F68" s="26" t="s">
        <v>327</v>
      </c>
      <c r="G68" s="26" t="s">
        <v>327</v>
      </c>
      <c r="H68" s="26" t="s">
        <v>327</v>
      </c>
    </row>
    <row r="69" customFormat="false" ht="15" hidden="false" customHeight="false" outlineLevel="0" collapsed="false">
      <c r="A69" s="26" t="s">
        <v>188</v>
      </c>
      <c r="B69" s="26" t="str">
        <f aca="false">INDEX(Datos_Departamento,MATCH(A69,Datos_ID,0))</f>
        <v>Finanzas</v>
      </c>
      <c r="C69" s="26" t="s">
        <v>327</v>
      </c>
      <c r="D69" s="26" t="s">
        <v>327</v>
      </c>
      <c r="E69" s="26" t="s">
        <v>327</v>
      </c>
      <c r="F69" s="26" t="s">
        <v>327</v>
      </c>
      <c r="G69" s="26" t="s">
        <v>327</v>
      </c>
      <c r="H69" s="26" t="s">
        <v>327</v>
      </c>
    </row>
    <row r="70" customFormat="false" ht="15" hidden="false" customHeight="false" outlineLevel="0" collapsed="false">
      <c r="A70" s="26" t="s">
        <v>191</v>
      </c>
      <c r="B70" s="26" t="str">
        <f aca="false">INDEX(Datos_Departamento,MATCH(A70,Datos_ID,0))</f>
        <v>Operaciones</v>
      </c>
      <c r="C70" s="26" t="s">
        <v>327</v>
      </c>
      <c r="D70" s="26" t="s">
        <v>327</v>
      </c>
      <c r="E70" s="26" t="s">
        <v>327</v>
      </c>
      <c r="F70" s="26" t="s">
        <v>327</v>
      </c>
      <c r="G70" s="26" t="s">
        <v>327</v>
      </c>
      <c r="H70" s="26" t="s">
        <v>327</v>
      </c>
    </row>
    <row r="71" customFormat="false" ht="15" hidden="false" customHeight="false" outlineLevel="0" collapsed="false">
      <c r="A71" s="26" t="s">
        <v>193</v>
      </c>
      <c r="B71" s="26" t="str">
        <f aca="false">INDEX(Datos_Departamento,MATCH(A71,Datos_ID,0))</f>
        <v>Operaciones</v>
      </c>
      <c r="C71" s="26" t="s">
        <v>327</v>
      </c>
      <c r="D71" s="26" t="s">
        <v>327</v>
      </c>
      <c r="E71" s="26" t="s">
        <v>327</v>
      </c>
      <c r="F71" s="26" t="s">
        <v>327</v>
      </c>
      <c r="G71" s="26" t="s">
        <v>327</v>
      </c>
      <c r="H71" s="26" t="s">
        <v>327</v>
      </c>
    </row>
    <row r="72" customFormat="false" ht="15" hidden="false" customHeight="false" outlineLevel="0" collapsed="false">
      <c r="A72" s="26" t="s">
        <v>195</v>
      </c>
      <c r="B72" s="26" t="str">
        <f aca="false">INDEX(Datos_Departamento,MATCH(A72,Datos_ID,0))</f>
        <v>IT</v>
      </c>
      <c r="C72" s="26" t="s">
        <v>327</v>
      </c>
      <c r="D72" s="26" t="s">
        <v>327</v>
      </c>
      <c r="E72" s="26" t="s">
        <v>327</v>
      </c>
      <c r="F72" s="26" t="s">
        <v>327</v>
      </c>
      <c r="G72" s="26" t="s">
        <v>327</v>
      </c>
      <c r="H72" s="26" t="s">
        <v>327</v>
      </c>
    </row>
    <row r="73" customFormat="false" ht="15" hidden="false" customHeight="false" outlineLevel="0" collapsed="false">
      <c r="A73" s="26" t="s">
        <v>197</v>
      </c>
      <c r="B73" s="26" t="str">
        <f aca="false">INDEX(Datos_Departamento,MATCH(A73,Datos_ID,0))</f>
        <v>Ventas</v>
      </c>
      <c r="C73" s="26" t="s">
        <v>327</v>
      </c>
      <c r="D73" s="26" t="s">
        <v>327</v>
      </c>
      <c r="E73" s="26" t="s">
        <v>327</v>
      </c>
      <c r="F73" s="26" t="s">
        <v>327</v>
      </c>
      <c r="G73" s="26" t="s">
        <v>327</v>
      </c>
      <c r="H73" s="26" t="s">
        <v>327</v>
      </c>
    </row>
    <row r="74" customFormat="false" ht="15" hidden="false" customHeight="false" outlineLevel="0" collapsed="false">
      <c r="A74" s="26" t="s">
        <v>199</v>
      </c>
      <c r="B74" s="26" t="str">
        <f aca="false">INDEX(Datos_Departamento,MATCH(A74,Datos_ID,0))</f>
        <v>IT</v>
      </c>
      <c r="C74" s="26" t="s">
        <v>327</v>
      </c>
      <c r="D74" s="26" t="s">
        <v>327</v>
      </c>
      <c r="E74" s="26" t="s">
        <v>327</v>
      </c>
      <c r="F74" s="26" t="s">
        <v>327</v>
      </c>
      <c r="G74" s="26" t="s">
        <v>327</v>
      </c>
      <c r="H74" s="26" t="s">
        <v>327</v>
      </c>
    </row>
    <row r="75" customFormat="false" ht="15" hidden="false" customHeight="false" outlineLevel="0" collapsed="false">
      <c r="A75" s="26" t="s">
        <v>201</v>
      </c>
      <c r="B75" s="26" t="str">
        <f aca="false">INDEX(Datos_Departamento,MATCH(A75,Datos_ID,0))</f>
        <v>Operaciones</v>
      </c>
      <c r="C75" s="26" t="s">
        <v>327</v>
      </c>
      <c r="D75" s="26" t="s">
        <v>327</v>
      </c>
      <c r="E75" s="26" t="s">
        <v>327</v>
      </c>
      <c r="F75" s="26" t="s">
        <v>327</v>
      </c>
      <c r="G75" s="26" t="s">
        <v>327</v>
      </c>
      <c r="H75" s="26" t="s">
        <v>327</v>
      </c>
    </row>
    <row r="76" customFormat="false" ht="15" hidden="false" customHeight="false" outlineLevel="0" collapsed="false">
      <c r="A76" s="26" t="s">
        <v>203</v>
      </c>
      <c r="B76" s="26" t="str">
        <f aca="false">INDEX(Datos_Departamento,MATCH(A76,Datos_ID,0))</f>
        <v>RRHH</v>
      </c>
      <c r="C76" s="26" t="s">
        <v>327</v>
      </c>
      <c r="D76" s="26" t="s">
        <v>327</v>
      </c>
      <c r="E76" s="26" t="s">
        <v>327</v>
      </c>
      <c r="F76" s="26" t="s">
        <v>327</v>
      </c>
      <c r="G76" s="26" t="s">
        <v>327</v>
      </c>
      <c r="H76" s="26" t="s">
        <v>327</v>
      </c>
    </row>
    <row r="77" customFormat="false" ht="15" hidden="false" customHeight="false" outlineLevel="0" collapsed="false">
      <c r="A77" s="26" t="s">
        <v>205</v>
      </c>
      <c r="B77" s="26" t="str">
        <f aca="false">INDEX(Datos_Departamento,MATCH(A77,Datos_ID,0))</f>
        <v>IT</v>
      </c>
      <c r="C77" s="26" t="s">
        <v>327</v>
      </c>
      <c r="D77" s="26" t="s">
        <v>327</v>
      </c>
      <c r="E77" s="26" t="s">
        <v>327</v>
      </c>
      <c r="F77" s="26" t="s">
        <v>328</v>
      </c>
      <c r="G77" s="26" t="s">
        <v>327</v>
      </c>
      <c r="H77" s="26" t="s">
        <v>327</v>
      </c>
    </row>
    <row r="78" customFormat="false" ht="15" hidden="false" customHeight="false" outlineLevel="0" collapsed="false">
      <c r="A78" s="26" t="s">
        <v>207</v>
      </c>
      <c r="B78" s="26" t="str">
        <f aca="false">INDEX(Datos_Departamento,MATCH(A78,Datos_ID,0))</f>
        <v>Ventas</v>
      </c>
      <c r="C78" s="26" t="s">
        <v>327</v>
      </c>
      <c r="D78" s="26" t="s">
        <v>327</v>
      </c>
      <c r="E78" s="26" t="s">
        <v>327</v>
      </c>
      <c r="F78" s="26" t="s">
        <v>327</v>
      </c>
      <c r="G78" s="26" t="s">
        <v>327</v>
      </c>
      <c r="H78" s="26" t="s">
        <v>327</v>
      </c>
    </row>
    <row r="79" customFormat="false" ht="15" hidden="false" customHeight="false" outlineLevel="0" collapsed="false">
      <c r="A79" s="26" t="s">
        <v>209</v>
      </c>
      <c r="B79" s="26" t="str">
        <f aca="false">INDEX(Datos_Departamento,MATCH(A79,Datos_ID,0))</f>
        <v>IT</v>
      </c>
      <c r="C79" s="26" t="s">
        <v>327</v>
      </c>
      <c r="D79" s="26" t="s">
        <v>327</v>
      </c>
      <c r="E79" s="26" t="s">
        <v>327</v>
      </c>
      <c r="F79" s="26" t="s">
        <v>327</v>
      </c>
      <c r="G79" s="26" t="s">
        <v>327</v>
      </c>
      <c r="H79" s="26" t="s">
        <v>327</v>
      </c>
    </row>
    <row r="80" customFormat="false" ht="15" hidden="false" customHeight="false" outlineLevel="0" collapsed="false">
      <c r="A80" s="26" t="s">
        <v>211</v>
      </c>
      <c r="B80" s="26" t="str">
        <f aca="false">INDEX(Datos_Departamento,MATCH(A80,Datos_ID,0))</f>
        <v>Finanzas</v>
      </c>
      <c r="C80" s="26" t="s">
        <v>327</v>
      </c>
      <c r="D80" s="26" t="s">
        <v>327</v>
      </c>
      <c r="E80" s="26" t="s">
        <v>327</v>
      </c>
      <c r="F80" s="26" t="s">
        <v>327</v>
      </c>
      <c r="G80" s="26" t="s">
        <v>327</v>
      </c>
      <c r="H80" s="26" t="s">
        <v>327</v>
      </c>
    </row>
    <row r="81" customFormat="false" ht="15" hidden="false" customHeight="false" outlineLevel="0" collapsed="false">
      <c r="A81" s="26" t="s">
        <v>213</v>
      </c>
      <c r="B81" s="26" t="str">
        <f aca="false">INDEX(Datos_Departamento,MATCH(A81,Datos_ID,0))</f>
        <v>RRHH</v>
      </c>
      <c r="C81" s="26" t="s">
        <v>327</v>
      </c>
      <c r="D81" s="26" t="s">
        <v>327</v>
      </c>
      <c r="E81" s="26" t="s">
        <v>327</v>
      </c>
      <c r="F81" s="26" t="s">
        <v>327</v>
      </c>
      <c r="G81" s="26" t="s">
        <v>327</v>
      </c>
      <c r="H81" s="26" t="s">
        <v>327</v>
      </c>
    </row>
    <row r="82" customFormat="false" ht="15" hidden="false" customHeight="false" outlineLevel="0" collapsed="false">
      <c r="A82" s="26" t="s">
        <v>215</v>
      </c>
      <c r="B82" s="26" t="str">
        <f aca="false">INDEX(Datos_Departamento,MATCH(A82,Datos_ID,0))</f>
        <v>Operaciones</v>
      </c>
      <c r="C82" s="26" t="s">
        <v>327</v>
      </c>
      <c r="D82" s="26" t="s">
        <v>327</v>
      </c>
      <c r="E82" s="26" t="s">
        <v>327</v>
      </c>
      <c r="F82" s="26" t="s">
        <v>327</v>
      </c>
      <c r="G82" s="26" t="s">
        <v>327</v>
      </c>
      <c r="H82" s="26" t="s">
        <v>327</v>
      </c>
    </row>
    <row r="83" customFormat="false" ht="15" hidden="false" customHeight="false" outlineLevel="0" collapsed="false">
      <c r="A83" s="26" t="s">
        <v>217</v>
      </c>
      <c r="B83" s="26" t="str">
        <f aca="false">INDEX(Datos_Departamento,MATCH(A83,Datos_ID,0))</f>
        <v>RRHH</v>
      </c>
      <c r="C83" s="26" t="s">
        <v>327</v>
      </c>
      <c r="D83" s="26" t="s">
        <v>327</v>
      </c>
      <c r="E83" s="26" t="s">
        <v>328</v>
      </c>
      <c r="F83" s="26" t="s">
        <v>327</v>
      </c>
      <c r="G83" s="26" t="s">
        <v>327</v>
      </c>
      <c r="H83" s="26" t="s">
        <v>327</v>
      </c>
    </row>
    <row r="84" customFormat="false" ht="15" hidden="false" customHeight="false" outlineLevel="0" collapsed="false">
      <c r="A84" s="26" t="s">
        <v>219</v>
      </c>
      <c r="B84" s="26" t="str">
        <f aca="false">INDEX(Datos_Departamento,MATCH(A84,Datos_ID,0))</f>
        <v>RRHH</v>
      </c>
      <c r="C84" s="26" t="s">
        <v>327</v>
      </c>
      <c r="D84" s="26" t="s">
        <v>327</v>
      </c>
      <c r="E84" s="26" t="s">
        <v>327</v>
      </c>
      <c r="F84" s="26" t="s">
        <v>327</v>
      </c>
      <c r="G84" s="26" t="s">
        <v>327</v>
      </c>
      <c r="H84" s="26" t="s">
        <v>327</v>
      </c>
    </row>
    <row r="85" customFormat="false" ht="15" hidden="false" customHeight="false" outlineLevel="0" collapsed="false">
      <c r="A85" s="26" t="s">
        <v>221</v>
      </c>
      <c r="B85" s="26" t="str">
        <f aca="false">INDEX(Datos_Departamento,MATCH(A85,Datos_ID,0))</f>
        <v>IT</v>
      </c>
      <c r="C85" s="26" t="s">
        <v>327</v>
      </c>
      <c r="D85" s="26" t="s">
        <v>327</v>
      </c>
      <c r="E85" s="26" t="s">
        <v>327</v>
      </c>
      <c r="F85" s="26" t="s">
        <v>327</v>
      </c>
      <c r="G85" s="26" t="s">
        <v>327</v>
      </c>
      <c r="H85" s="26" t="s">
        <v>327</v>
      </c>
    </row>
    <row r="86" customFormat="false" ht="15" hidden="false" customHeight="false" outlineLevel="0" collapsed="false">
      <c r="A86" s="26" t="s">
        <v>223</v>
      </c>
      <c r="B86" s="26" t="str">
        <f aca="false">INDEX(Datos_Departamento,MATCH(A86,Datos_ID,0))</f>
        <v>RRHH</v>
      </c>
      <c r="C86" s="26" t="s">
        <v>327</v>
      </c>
      <c r="D86" s="26" t="s">
        <v>327</v>
      </c>
      <c r="E86" s="26" t="s">
        <v>327</v>
      </c>
      <c r="F86" s="26" t="s">
        <v>327</v>
      </c>
      <c r="G86" s="26" t="s">
        <v>327</v>
      </c>
      <c r="H86" s="26" t="s">
        <v>327</v>
      </c>
    </row>
    <row r="87" customFormat="false" ht="15" hidden="false" customHeight="false" outlineLevel="0" collapsed="false">
      <c r="A87" s="26" t="s">
        <v>225</v>
      </c>
      <c r="B87" s="26" t="str">
        <f aca="false">INDEX(Datos_Departamento,MATCH(A87,Datos_ID,0))</f>
        <v>RRHH</v>
      </c>
      <c r="C87" s="26" t="s">
        <v>327</v>
      </c>
      <c r="D87" s="26" t="s">
        <v>327</v>
      </c>
      <c r="E87" s="26" t="s">
        <v>327</v>
      </c>
      <c r="F87" s="26" t="s">
        <v>327</v>
      </c>
      <c r="G87" s="26" t="s">
        <v>327</v>
      </c>
      <c r="H87" s="26" t="s">
        <v>327</v>
      </c>
    </row>
    <row r="88" customFormat="false" ht="15" hidden="false" customHeight="false" outlineLevel="0" collapsed="false">
      <c r="A88" s="26" t="s">
        <v>227</v>
      </c>
      <c r="B88" s="26" t="str">
        <f aca="false">INDEX(Datos_Departamento,MATCH(A88,Datos_ID,0))</f>
        <v>Finanzas</v>
      </c>
      <c r="C88" s="26" t="s">
        <v>327</v>
      </c>
      <c r="D88" s="26" t="s">
        <v>327</v>
      </c>
      <c r="E88" s="26" t="s">
        <v>327</v>
      </c>
      <c r="F88" s="26" t="s">
        <v>327</v>
      </c>
      <c r="G88" s="26" t="s">
        <v>327</v>
      </c>
      <c r="H88" s="26" t="s">
        <v>327</v>
      </c>
    </row>
    <row r="89" customFormat="false" ht="15" hidden="false" customHeight="false" outlineLevel="0" collapsed="false">
      <c r="A89" s="26" t="s">
        <v>229</v>
      </c>
      <c r="B89" s="26" t="str">
        <f aca="false">INDEX(Datos_Departamento,MATCH(A89,Datos_ID,0))</f>
        <v>RRHH</v>
      </c>
      <c r="C89" s="26" t="s">
        <v>328</v>
      </c>
      <c r="D89" s="26" t="s">
        <v>327</v>
      </c>
      <c r="E89" s="26" t="s">
        <v>327</v>
      </c>
      <c r="F89" s="26" t="s">
        <v>327</v>
      </c>
      <c r="G89" s="26" t="s">
        <v>327</v>
      </c>
      <c r="H89" s="26" t="s">
        <v>327</v>
      </c>
    </row>
    <row r="90" customFormat="false" ht="15" hidden="false" customHeight="false" outlineLevel="0" collapsed="false">
      <c r="A90" s="26" t="s">
        <v>231</v>
      </c>
      <c r="B90" s="26" t="str">
        <f aca="false">INDEX(Datos_Departamento,MATCH(A90,Datos_ID,0))</f>
        <v>IT</v>
      </c>
      <c r="C90" s="26" t="s">
        <v>327</v>
      </c>
      <c r="D90" s="26" t="s">
        <v>327</v>
      </c>
      <c r="E90" s="26" t="s">
        <v>327</v>
      </c>
      <c r="F90" s="26" t="s">
        <v>327</v>
      </c>
      <c r="G90" s="26" t="s">
        <v>327</v>
      </c>
      <c r="H90" s="26" t="s">
        <v>327</v>
      </c>
    </row>
    <row r="91" customFormat="false" ht="15" hidden="false" customHeight="false" outlineLevel="0" collapsed="false">
      <c r="A91" s="26" t="s">
        <v>233</v>
      </c>
      <c r="B91" s="26" t="str">
        <f aca="false">INDEX(Datos_Departamento,MATCH(A91,Datos_ID,0))</f>
        <v>Ventas</v>
      </c>
      <c r="C91" s="26" t="s">
        <v>327</v>
      </c>
      <c r="D91" s="26" t="s">
        <v>327</v>
      </c>
      <c r="E91" s="26" t="s">
        <v>327</v>
      </c>
      <c r="F91" s="26" t="s">
        <v>327</v>
      </c>
      <c r="G91" s="26" t="s">
        <v>327</v>
      </c>
      <c r="H91" s="26" t="s">
        <v>327</v>
      </c>
    </row>
    <row r="92" customFormat="false" ht="15" hidden="false" customHeight="false" outlineLevel="0" collapsed="false">
      <c r="A92" s="26" t="s">
        <v>235</v>
      </c>
      <c r="B92" s="26" t="str">
        <f aca="false">INDEX(Datos_Departamento,MATCH(A92,Datos_ID,0))</f>
        <v>IT</v>
      </c>
      <c r="C92" s="26" t="s">
        <v>327</v>
      </c>
      <c r="D92" s="26" t="s">
        <v>327</v>
      </c>
      <c r="E92" s="26" t="s">
        <v>327</v>
      </c>
      <c r="F92" s="26" t="s">
        <v>327</v>
      </c>
      <c r="G92" s="26" t="s">
        <v>327</v>
      </c>
      <c r="H92" s="26" t="s">
        <v>327</v>
      </c>
    </row>
    <row r="93" customFormat="false" ht="15" hidden="false" customHeight="false" outlineLevel="0" collapsed="false">
      <c r="A93" s="26" t="s">
        <v>237</v>
      </c>
      <c r="B93" s="26" t="str">
        <f aca="false">INDEX(Datos_Departamento,MATCH(A93,Datos_ID,0))</f>
        <v>Operaciones</v>
      </c>
      <c r="C93" s="26" t="s">
        <v>328</v>
      </c>
      <c r="D93" s="26" t="s">
        <v>327</v>
      </c>
      <c r="E93" s="26" t="s">
        <v>327</v>
      </c>
      <c r="F93" s="26" t="s">
        <v>327</v>
      </c>
      <c r="G93" s="26" t="s">
        <v>327</v>
      </c>
      <c r="H93" s="26" t="s">
        <v>327</v>
      </c>
    </row>
    <row r="94" customFormat="false" ht="15" hidden="false" customHeight="false" outlineLevel="0" collapsed="false">
      <c r="A94" s="26" t="s">
        <v>239</v>
      </c>
      <c r="B94" s="26" t="str">
        <f aca="false">INDEX(Datos_Departamento,MATCH(A94,Datos_ID,0))</f>
        <v>RRHH</v>
      </c>
      <c r="C94" s="26" t="s">
        <v>327</v>
      </c>
      <c r="D94" s="26" t="s">
        <v>327</v>
      </c>
      <c r="E94" s="26" t="s">
        <v>327</v>
      </c>
      <c r="F94" s="26" t="s">
        <v>327</v>
      </c>
      <c r="G94" s="26" t="s">
        <v>327</v>
      </c>
      <c r="H94" s="26" t="s">
        <v>327</v>
      </c>
    </row>
    <row r="95" customFormat="false" ht="15" hidden="false" customHeight="false" outlineLevel="0" collapsed="false">
      <c r="A95" s="26" t="s">
        <v>241</v>
      </c>
      <c r="B95" s="26" t="str">
        <f aca="false">INDEX(Datos_Departamento,MATCH(A95,Datos_ID,0))</f>
        <v>RRHH</v>
      </c>
      <c r="C95" s="26" t="s">
        <v>327</v>
      </c>
      <c r="D95" s="26" t="s">
        <v>327</v>
      </c>
      <c r="E95" s="26" t="s">
        <v>327</v>
      </c>
      <c r="F95" s="26" t="s">
        <v>327</v>
      </c>
      <c r="G95" s="26" t="s">
        <v>327</v>
      </c>
      <c r="H95" s="26" t="s">
        <v>327</v>
      </c>
    </row>
    <row r="96" customFormat="false" ht="15" hidden="false" customHeight="false" outlineLevel="0" collapsed="false">
      <c r="A96" s="26" t="s">
        <v>243</v>
      </c>
      <c r="B96" s="26" t="str">
        <f aca="false">INDEX(Datos_Departamento,MATCH(A96,Datos_ID,0))</f>
        <v>Ventas</v>
      </c>
      <c r="C96" s="26" t="s">
        <v>327</v>
      </c>
      <c r="D96" s="26" t="s">
        <v>327</v>
      </c>
      <c r="E96" s="26" t="s">
        <v>327</v>
      </c>
      <c r="F96" s="26" t="s">
        <v>327</v>
      </c>
      <c r="G96" s="26" t="s">
        <v>327</v>
      </c>
      <c r="H96" s="26" t="s">
        <v>327</v>
      </c>
    </row>
    <row r="97" customFormat="false" ht="15" hidden="false" customHeight="false" outlineLevel="0" collapsed="false">
      <c r="A97" s="26" t="s">
        <v>245</v>
      </c>
      <c r="B97" s="26" t="str">
        <f aca="false">INDEX(Datos_Departamento,MATCH(A97,Datos_ID,0))</f>
        <v>Operaciones</v>
      </c>
      <c r="C97" s="26" t="s">
        <v>327</v>
      </c>
      <c r="D97" s="26" t="s">
        <v>327</v>
      </c>
      <c r="E97" s="26" t="s">
        <v>327</v>
      </c>
      <c r="F97" s="26" t="s">
        <v>327</v>
      </c>
      <c r="G97" s="26" t="s">
        <v>327</v>
      </c>
      <c r="H97" s="26" t="s">
        <v>327</v>
      </c>
    </row>
    <row r="98" customFormat="false" ht="15" hidden="false" customHeight="false" outlineLevel="0" collapsed="false">
      <c r="A98" s="26" t="s">
        <v>247</v>
      </c>
      <c r="B98" s="26" t="str">
        <f aca="false">INDEX(Datos_Departamento,MATCH(A98,Datos_ID,0))</f>
        <v>Ventas</v>
      </c>
      <c r="C98" s="26"/>
      <c r="D98" s="26" t="s">
        <v>327</v>
      </c>
      <c r="E98" s="26" t="s">
        <v>327</v>
      </c>
      <c r="F98" s="26" t="s">
        <v>327</v>
      </c>
      <c r="G98" s="26" t="s">
        <v>327</v>
      </c>
      <c r="H98" s="26" t="s">
        <v>327</v>
      </c>
    </row>
    <row r="99" customFormat="false" ht="15" hidden="false" customHeight="false" outlineLevel="0" collapsed="false">
      <c r="A99" s="26" t="s">
        <v>249</v>
      </c>
      <c r="B99" s="26" t="str">
        <f aca="false">INDEX(Datos_Departamento,MATCH(A99,Datos_ID,0))</f>
        <v>IT</v>
      </c>
      <c r="C99" s="26"/>
      <c r="D99" s="26" t="s">
        <v>327</v>
      </c>
      <c r="E99" s="26" t="s">
        <v>327</v>
      </c>
      <c r="F99" s="26" t="s">
        <v>327</v>
      </c>
      <c r="G99" s="26" t="s">
        <v>327</v>
      </c>
      <c r="H99" s="26" t="s">
        <v>327</v>
      </c>
    </row>
    <row r="100" customFormat="false" ht="15" hidden="false" customHeight="false" outlineLevel="0" collapsed="false">
      <c r="A100" s="26" t="s">
        <v>251</v>
      </c>
      <c r="B100" s="26" t="str">
        <f aca="false">INDEX(Datos_Departamento,MATCH(A100,Datos_ID,0))</f>
        <v>RRHH</v>
      </c>
      <c r="C100" s="26"/>
      <c r="D100" s="26" t="s">
        <v>327</v>
      </c>
      <c r="E100" s="26" t="s">
        <v>327</v>
      </c>
      <c r="F100" s="26" t="s">
        <v>327</v>
      </c>
      <c r="G100" s="26" t="s">
        <v>327</v>
      </c>
      <c r="H100" s="26" t="s">
        <v>327</v>
      </c>
    </row>
    <row r="101" customFormat="false" ht="15" hidden="false" customHeight="false" outlineLevel="0" collapsed="false">
      <c r="A101" s="26" t="s">
        <v>253</v>
      </c>
      <c r="B101" s="26" t="str">
        <f aca="false">INDEX(Datos_Departamento,MATCH(A101,Datos_ID,0))</f>
        <v>RRHH</v>
      </c>
      <c r="C101" s="26"/>
      <c r="D101" s="26" t="s">
        <v>327</v>
      </c>
      <c r="E101" s="26" t="s">
        <v>327</v>
      </c>
      <c r="F101" s="26" t="s">
        <v>327</v>
      </c>
      <c r="G101" s="26" t="s">
        <v>327</v>
      </c>
      <c r="H101" s="26" t="s">
        <v>327</v>
      </c>
    </row>
    <row r="102" customFormat="false" ht="15" hidden="false" customHeight="false" outlineLevel="0" collapsed="false">
      <c r="A102" s="26" t="s">
        <v>255</v>
      </c>
      <c r="B102" s="26" t="str">
        <f aca="false">INDEX(Datos_Departamento,MATCH(A102,Datos_ID,0))</f>
        <v>Ventas</v>
      </c>
      <c r="C102" s="26"/>
      <c r="D102" s="26" t="s">
        <v>327</v>
      </c>
      <c r="E102" s="26" t="s">
        <v>327</v>
      </c>
      <c r="F102" s="26" t="s">
        <v>327</v>
      </c>
      <c r="G102" s="26" t="s">
        <v>327</v>
      </c>
      <c r="H102" s="26" t="s">
        <v>327</v>
      </c>
    </row>
    <row r="103" customFormat="false" ht="15" hidden="false" customHeight="false" outlineLevel="0" collapsed="false">
      <c r="A103" s="26" t="s">
        <v>257</v>
      </c>
      <c r="B103" s="26" t="str">
        <f aca="false">INDEX(Datos_Departamento,MATCH(A103,Datos_ID,0))</f>
        <v>Operaciones</v>
      </c>
      <c r="C103" s="26"/>
      <c r="D103" s="26"/>
      <c r="E103" s="26" t="s">
        <v>327</v>
      </c>
      <c r="F103" s="26" t="s">
        <v>327</v>
      </c>
      <c r="G103" s="26" t="s">
        <v>327</v>
      </c>
      <c r="H103" s="26" t="s">
        <v>327</v>
      </c>
    </row>
    <row r="104" customFormat="false" ht="15" hidden="false" customHeight="false" outlineLevel="0" collapsed="false">
      <c r="A104" s="26" t="s">
        <v>259</v>
      </c>
      <c r="B104" s="26" t="str">
        <f aca="false">INDEX(Datos_Departamento,MATCH(A104,Datos_ID,0))</f>
        <v>Operaciones</v>
      </c>
      <c r="C104" s="26"/>
      <c r="D104" s="26"/>
      <c r="E104" s="26" t="s">
        <v>327</v>
      </c>
      <c r="F104" s="26" t="s">
        <v>327</v>
      </c>
      <c r="G104" s="26" t="s">
        <v>327</v>
      </c>
      <c r="H104" s="26" t="s">
        <v>327</v>
      </c>
    </row>
    <row r="105" customFormat="false" ht="15" hidden="false" customHeight="false" outlineLevel="0" collapsed="false">
      <c r="A105" s="26" t="s">
        <v>261</v>
      </c>
      <c r="B105" s="26" t="str">
        <f aca="false">INDEX(Datos_Departamento,MATCH(A105,Datos_ID,0))</f>
        <v>Ventas</v>
      </c>
      <c r="C105" s="26"/>
      <c r="D105" s="26"/>
      <c r="E105" s="26" t="s">
        <v>327</v>
      </c>
      <c r="F105" s="26" t="s">
        <v>327</v>
      </c>
      <c r="G105" s="26" t="s">
        <v>327</v>
      </c>
      <c r="H105" s="26" t="s">
        <v>327</v>
      </c>
    </row>
    <row r="106" customFormat="false" ht="15" hidden="false" customHeight="false" outlineLevel="0" collapsed="false">
      <c r="A106" s="26" t="s">
        <v>263</v>
      </c>
      <c r="B106" s="26" t="str">
        <f aca="false">INDEX(Datos_Departamento,MATCH(A106,Datos_ID,0))</f>
        <v>Ventas</v>
      </c>
      <c r="C106" s="26"/>
      <c r="D106" s="26"/>
      <c r="E106" s="26" t="s">
        <v>327</v>
      </c>
      <c r="F106" s="26" t="s">
        <v>327</v>
      </c>
      <c r="G106" s="26" t="s">
        <v>328</v>
      </c>
      <c r="H106" s="26" t="s">
        <v>327</v>
      </c>
    </row>
    <row r="107" customFormat="false" ht="15" hidden="false" customHeight="false" outlineLevel="0" collapsed="false">
      <c r="A107" s="26" t="s">
        <v>265</v>
      </c>
      <c r="B107" s="26" t="str">
        <f aca="false">INDEX(Datos_Departamento,MATCH(A107,Datos_ID,0))</f>
        <v>Operaciones</v>
      </c>
      <c r="C107" s="26"/>
      <c r="D107" s="26"/>
      <c r="E107" s="26"/>
      <c r="F107" s="26" t="s">
        <v>327</v>
      </c>
      <c r="G107" s="26" t="s">
        <v>327</v>
      </c>
      <c r="H107" s="26" t="s">
        <v>327</v>
      </c>
    </row>
    <row r="108" customFormat="false" ht="15" hidden="false" customHeight="false" outlineLevel="0" collapsed="false">
      <c r="A108" s="26" t="s">
        <v>267</v>
      </c>
      <c r="B108" s="26" t="str">
        <f aca="false">INDEX(Datos_Departamento,MATCH(A108,Datos_ID,0))</f>
        <v>RRHH</v>
      </c>
      <c r="C108" s="26"/>
      <c r="D108" s="26"/>
      <c r="E108" s="26"/>
      <c r="F108" s="26" t="s">
        <v>327</v>
      </c>
      <c r="G108" s="26" t="s">
        <v>327</v>
      </c>
      <c r="H108" s="26" t="s">
        <v>327</v>
      </c>
    </row>
    <row r="109" customFormat="false" ht="15" hidden="false" customHeight="false" outlineLevel="0" collapsed="false">
      <c r="A109" s="26" t="s">
        <v>269</v>
      </c>
      <c r="B109" s="26" t="str">
        <f aca="false">INDEX(Datos_Departamento,MATCH(A109,Datos_ID,0))</f>
        <v>Finanzas</v>
      </c>
      <c r="C109" s="26"/>
      <c r="D109" s="26"/>
      <c r="E109" s="26"/>
      <c r="F109" s="26" t="s">
        <v>327</v>
      </c>
      <c r="G109" s="26" t="s">
        <v>327</v>
      </c>
      <c r="H109" s="26" t="s">
        <v>327</v>
      </c>
    </row>
    <row r="110" customFormat="false" ht="15" hidden="false" customHeight="false" outlineLevel="0" collapsed="false">
      <c r="A110" s="26" t="s">
        <v>271</v>
      </c>
      <c r="B110" s="26" t="str">
        <f aca="false">INDEX(Datos_Departamento,MATCH(A110,Datos_ID,0))</f>
        <v>Finanzas</v>
      </c>
      <c r="C110" s="26"/>
      <c r="D110" s="26"/>
      <c r="E110" s="26"/>
      <c r="F110" s="26" t="s">
        <v>327</v>
      </c>
      <c r="G110" s="26" t="s">
        <v>327</v>
      </c>
      <c r="H110" s="26" t="s">
        <v>327</v>
      </c>
    </row>
    <row r="111" customFormat="false" ht="15" hidden="false" customHeight="false" outlineLevel="0" collapsed="false">
      <c r="A111" s="26" t="s">
        <v>273</v>
      </c>
      <c r="B111" s="26" t="str">
        <f aca="false">INDEX(Datos_Departamento,MATCH(A111,Datos_ID,0))</f>
        <v>RRHH</v>
      </c>
      <c r="C111" s="26"/>
      <c r="D111" s="26"/>
      <c r="E111" s="26"/>
      <c r="F111" s="26" t="s">
        <v>327</v>
      </c>
      <c r="G111" s="26" t="s">
        <v>327</v>
      </c>
      <c r="H111" s="26" t="s">
        <v>327</v>
      </c>
    </row>
    <row r="112" customFormat="false" ht="15" hidden="false" customHeight="false" outlineLevel="0" collapsed="false">
      <c r="A112" s="26" t="s">
        <v>275</v>
      </c>
      <c r="B112" s="26" t="str">
        <f aca="false">INDEX(Datos_Departamento,MATCH(A112,Datos_ID,0))</f>
        <v>IT</v>
      </c>
      <c r="C112" s="26"/>
      <c r="D112" s="26"/>
      <c r="E112" s="26"/>
      <c r="F112" s="26"/>
      <c r="G112" s="26" t="s">
        <v>327</v>
      </c>
      <c r="H112" s="26" t="s">
        <v>327</v>
      </c>
    </row>
    <row r="113" customFormat="false" ht="15" hidden="false" customHeight="false" outlineLevel="0" collapsed="false">
      <c r="A113" s="26" t="s">
        <v>277</v>
      </c>
      <c r="B113" s="26" t="str">
        <f aca="false">INDEX(Datos_Departamento,MATCH(A113,Datos_ID,0))</f>
        <v>Ventas</v>
      </c>
      <c r="C113" s="26"/>
      <c r="D113" s="26"/>
      <c r="E113" s="26"/>
      <c r="F113" s="26"/>
      <c r="G113" s="26" t="s">
        <v>327</v>
      </c>
      <c r="H113" s="26" t="s">
        <v>327</v>
      </c>
    </row>
    <row r="114" customFormat="false" ht="15" hidden="false" customHeight="false" outlineLevel="0" collapsed="false">
      <c r="A114" s="26" t="s">
        <v>279</v>
      </c>
      <c r="B114" s="26" t="str">
        <f aca="false">INDEX(Datos_Departamento,MATCH(A114,Datos_ID,0))</f>
        <v>IT</v>
      </c>
      <c r="C114" s="26"/>
      <c r="D114" s="26"/>
      <c r="E114" s="26"/>
      <c r="F114" s="26"/>
      <c r="G114" s="26" t="s">
        <v>327</v>
      </c>
      <c r="H114" s="26" t="s">
        <v>327</v>
      </c>
    </row>
    <row r="115" customFormat="false" ht="15" hidden="false" customHeight="false" outlineLevel="0" collapsed="false">
      <c r="A115" s="26" t="s">
        <v>281</v>
      </c>
      <c r="B115" s="26" t="str">
        <f aca="false">INDEX(Datos_Departamento,MATCH(A115,Datos_ID,0))</f>
        <v>RRHH</v>
      </c>
      <c r="C115" s="26"/>
      <c r="D115" s="26"/>
      <c r="E115" s="26"/>
      <c r="F115" s="26"/>
      <c r="G115" s="26" t="s">
        <v>327</v>
      </c>
      <c r="H115" s="26" t="s">
        <v>327</v>
      </c>
    </row>
    <row r="116" customFormat="false" ht="15" hidden="false" customHeight="false" outlineLevel="0" collapsed="false">
      <c r="A116" s="26" t="s">
        <v>283</v>
      </c>
      <c r="B116" s="26" t="str">
        <f aca="false">INDEX(Datos_Departamento,MATCH(A116,Datos_ID,0))</f>
        <v>Finanzas</v>
      </c>
      <c r="C116" s="26"/>
      <c r="D116" s="26"/>
      <c r="E116" s="26"/>
      <c r="F116" s="26"/>
      <c r="G116" s="26"/>
      <c r="H116" s="26" t="s">
        <v>327</v>
      </c>
    </row>
    <row r="117" customFormat="false" ht="15" hidden="false" customHeight="false" outlineLevel="0" collapsed="false">
      <c r="A117" s="26" t="s">
        <v>285</v>
      </c>
      <c r="B117" s="26" t="str">
        <f aca="false">INDEX(Datos_Departamento,MATCH(A117,Datos_ID,0))</f>
        <v>IT</v>
      </c>
      <c r="C117" s="26"/>
      <c r="D117" s="26"/>
      <c r="E117" s="26"/>
      <c r="F117" s="26"/>
      <c r="G117" s="26"/>
      <c r="H117" s="26" t="s">
        <v>327</v>
      </c>
    </row>
    <row r="118" customFormat="false" ht="15" hidden="false" customHeight="false" outlineLevel="0" collapsed="false">
      <c r="A118" s="26" t="s">
        <v>287</v>
      </c>
      <c r="B118" s="26" t="str">
        <f aca="false">INDEX(Datos_Departamento,MATCH(A118,Datos_ID,0))</f>
        <v>Operaciones</v>
      </c>
      <c r="C118" s="26"/>
      <c r="D118" s="26"/>
      <c r="E118" s="26"/>
      <c r="F118" s="26"/>
      <c r="G118" s="26"/>
      <c r="H118" s="26" t="s">
        <v>327</v>
      </c>
    </row>
    <row r="119" customFormat="false" ht="15" hidden="false" customHeight="false" outlineLevel="0" collapsed="false">
      <c r="A119" s="26" t="s">
        <v>289</v>
      </c>
      <c r="B119" s="26" t="str">
        <f aca="false">INDEX(Datos_Departamento,MATCH(A119,Datos_ID,0))</f>
        <v>RRHH</v>
      </c>
      <c r="C119" s="26"/>
      <c r="D119" s="26"/>
      <c r="E119" s="26"/>
      <c r="F119" s="26"/>
      <c r="G119" s="26"/>
      <c r="H119" s="26" t="s">
        <v>327</v>
      </c>
    </row>
    <row r="120" customFormat="false" ht="15" hidden="false" customHeight="false" outlineLevel="0" collapsed="false">
      <c r="A120" s="26" t="s">
        <v>291</v>
      </c>
      <c r="B120" s="26" t="str">
        <f aca="false">INDEX(Datos_Departamento,MATCH(A120,Datos_ID,0))</f>
        <v>IT</v>
      </c>
      <c r="C120" s="26"/>
      <c r="D120" s="26"/>
      <c r="E120" s="26"/>
      <c r="F120" s="26"/>
      <c r="G120" s="26"/>
      <c r="H120" s="26" t="s">
        <v>327</v>
      </c>
    </row>
    <row r="121" customFormat="false" ht="15" hidden="false" customHeight="false" outlineLevel="0" collapsed="false">
      <c r="A121" s="26" t="s">
        <v>293</v>
      </c>
      <c r="B121" s="26" t="str">
        <f aca="false">INDEX(Datos_Departamento,MATCH(A121,Datos_ID,0))</f>
        <v>IT</v>
      </c>
      <c r="C121" s="26"/>
      <c r="D121" s="26"/>
      <c r="E121" s="26"/>
      <c r="F121" s="26"/>
      <c r="G121" s="26"/>
      <c r="H121" s="26" t="s">
        <v>327</v>
      </c>
    </row>
    <row r="122" customFormat="false" ht="15" hidden="false" customHeight="false" outlineLevel="0" collapsed="false">
      <c r="A122" s="26" t="s">
        <v>295</v>
      </c>
      <c r="B122" s="26" t="str">
        <f aca="false">INDEX(Datos_Departamento,MATCH(A122,Datos_ID,0))</f>
        <v>IT</v>
      </c>
      <c r="C122" s="26" t="s">
        <v>327</v>
      </c>
      <c r="D122" s="26" t="s">
        <v>327</v>
      </c>
      <c r="E122" s="26" t="s">
        <v>327</v>
      </c>
      <c r="F122" s="26" t="s">
        <v>327</v>
      </c>
      <c r="G122" s="26" t="s">
        <v>327</v>
      </c>
      <c r="H122" s="26"/>
    </row>
    <row r="123" customFormat="false" ht="15" hidden="false" customHeight="false" outlineLevel="0" collapsed="false">
      <c r="A123" s="26" t="s">
        <v>298</v>
      </c>
      <c r="B123" s="26" t="str">
        <f aca="false">INDEX(Datos_Departamento,MATCH(A123,Datos_ID,0))</f>
        <v>Ventas</v>
      </c>
      <c r="C123" s="26" t="s">
        <v>327</v>
      </c>
      <c r="D123" s="26"/>
      <c r="E123" s="26"/>
      <c r="F123" s="26"/>
      <c r="G123" s="26"/>
      <c r="H123" s="26"/>
    </row>
    <row r="124" customFormat="false" ht="15" hidden="false" customHeight="false" outlineLevel="0" collapsed="false">
      <c r="A124" s="26" t="s">
        <v>300</v>
      </c>
      <c r="B124" s="26" t="str">
        <f aca="false">INDEX(Datos_Departamento,MATCH(A124,Datos_ID,0))</f>
        <v>RRHH</v>
      </c>
      <c r="C124" s="26" t="s">
        <v>327</v>
      </c>
      <c r="D124" s="26" t="s">
        <v>327</v>
      </c>
      <c r="E124" s="26" t="s">
        <v>327</v>
      </c>
      <c r="F124" s="26" t="s">
        <v>327</v>
      </c>
      <c r="G124" s="26" t="s">
        <v>327</v>
      </c>
      <c r="H124" s="26" t="s">
        <v>327</v>
      </c>
    </row>
    <row r="125" customFormat="false" ht="15" hidden="false" customHeight="false" outlineLevel="0" collapsed="false">
      <c r="A125" s="26" t="s">
        <v>302</v>
      </c>
      <c r="B125" s="26" t="str">
        <f aca="false">INDEX(Datos_Departamento,MATCH(A125,Datos_ID,0))</f>
        <v>Operaciones</v>
      </c>
      <c r="C125" s="26" t="s">
        <v>327</v>
      </c>
      <c r="D125" s="26" t="s">
        <v>327</v>
      </c>
      <c r="E125" s="26"/>
      <c r="F125" s="26"/>
      <c r="G125" s="26"/>
      <c r="H125" s="26"/>
    </row>
    <row r="126" customFormat="false" ht="15" hidden="false" customHeight="false" outlineLevel="0" collapsed="false">
      <c r="A126" s="26" t="s">
        <v>304</v>
      </c>
      <c r="B126" s="26" t="str">
        <f aca="false">INDEX(Datos_Departamento,MATCH(A126,Datos_ID,0))</f>
        <v>IT</v>
      </c>
      <c r="C126" s="26" t="s">
        <v>327</v>
      </c>
      <c r="D126" s="26" t="s">
        <v>328</v>
      </c>
      <c r="E126" s="26" t="s">
        <v>327</v>
      </c>
      <c r="F126" s="26" t="s">
        <v>327</v>
      </c>
      <c r="G126" s="26" t="s">
        <v>327</v>
      </c>
      <c r="H126" s="26"/>
    </row>
    <row r="127" customFormat="false" ht="15" hidden="false" customHeight="false" outlineLevel="0" collapsed="false">
      <c r="A127" s="26" t="s">
        <v>306</v>
      </c>
      <c r="B127" s="26" t="str">
        <f aca="false">INDEX(Datos_Departamento,MATCH(A127,Datos_ID,0))</f>
        <v>Ventas</v>
      </c>
      <c r="C127" s="26" t="s">
        <v>327</v>
      </c>
      <c r="D127" s="26" t="s">
        <v>327</v>
      </c>
      <c r="E127" s="26" t="s">
        <v>327</v>
      </c>
      <c r="F127" s="26" t="s">
        <v>327</v>
      </c>
      <c r="G127" s="26" t="s">
        <v>327</v>
      </c>
      <c r="H127" s="26" t="s">
        <v>327</v>
      </c>
    </row>
    <row r="128" customFormat="false" ht="15" hidden="false" customHeight="false" outlineLevel="0" collapsed="false">
      <c r="A128" s="26" t="s">
        <v>308</v>
      </c>
      <c r="B128" s="26" t="str">
        <f aca="false">INDEX(Datos_Departamento,MATCH(A128,Datos_ID,0))</f>
        <v>IT</v>
      </c>
      <c r="C128" s="26" t="s">
        <v>327</v>
      </c>
      <c r="D128" s="26" t="s">
        <v>327</v>
      </c>
      <c r="E128" s="26" t="s">
        <v>327</v>
      </c>
      <c r="F128" s="26" t="s">
        <v>327</v>
      </c>
      <c r="G128" s="26"/>
      <c r="H128" s="26"/>
    </row>
    <row r="129" customFormat="false" ht="15" hidden="false" customHeight="false" outlineLevel="0" collapsed="false">
      <c r="A129" s="26" t="s">
        <v>310</v>
      </c>
      <c r="B129" s="26" t="str">
        <f aca="false">INDEX(Datos_Departamento,MATCH(A129,Datos_ID,0))</f>
        <v>RRHH</v>
      </c>
      <c r="C129" s="26" t="s">
        <v>327</v>
      </c>
      <c r="D129" s="26" t="s">
        <v>327</v>
      </c>
      <c r="E129" s="26" t="s">
        <v>327</v>
      </c>
      <c r="F129" s="26" t="s">
        <v>327</v>
      </c>
      <c r="G129" s="26"/>
      <c r="H129" s="26"/>
    </row>
    <row r="130" customFormat="false" ht="15" hidden="false" customHeight="false" outlineLevel="0" collapsed="false">
      <c r="A130" s="26" t="s">
        <v>312</v>
      </c>
      <c r="B130" s="26" t="str">
        <f aca="false">INDEX(Datos_Departamento,MATCH(A130,Datos_ID,0))</f>
        <v>Ventas</v>
      </c>
      <c r="C130" s="26" t="s">
        <v>327</v>
      </c>
      <c r="D130" s="26" t="s">
        <v>327</v>
      </c>
      <c r="E130" s="26" t="s">
        <v>327</v>
      </c>
      <c r="F130" s="26"/>
      <c r="G130" s="26"/>
      <c r="H130" s="26"/>
    </row>
    <row r="131" customFormat="false" ht="15" hidden="false" customHeight="false" outlineLevel="0" collapsed="false">
      <c r="A131" s="26" t="s">
        <v>314</v>
      </c>
      <c r="B131" s="26" t="str">
        <f aca="false">INDEX(Datos_Departamento,MATCH(A131,Datos_ID,0))</f>
        <v>Operaciones</v>
      </c>
      <c r="C131" s="26" t="s">
        <v>327</v>
      </c>
      <c r="D131" s="26" t="s">
        <v>327</v>
      </c>
      <c r="E131" s="26" t="s">
        <v>327</v>
      </c>
      <c r="F131" s="26" t="s">
        <v>327</v>
      </c>
      <c r="G131" s="26" t="s">
        <v>327</v>
      </c>
      <c r="H131" s="26" t="s">
        <v>327</v>
      </c>
    </row>
    <row r="132" customFormat="false" ht="15" hidden="false" customHeight="false" outlineLevel="0" collapsed="false">
      <c r="A132" s="26" t="s">
        <v>316</v>
      </c>
      <c r="B132" s="26" t="str">
        <f aca="false">INDEX(Datos_Departamento,MATCH(A132,Datos_ID,0))</f>
        <v>Ventas</v>
      </c>
      <c r="C132" s="26" t="s">
        <v>327</v>
      </c>
      <c r="D132" s="26" t="s">
        <v>327</v>
      </c>
      <c r="E132" s="26"/>
      <c r="F132" s="26"/>
      <c r="G132" s="26"/>
      <c r="H132" s="26"/>
    </row>
    <row r="133" customFormat="false" ht="15" hidden="false" customHeight="false" outlineLevel="0" collapsed="false">
      <c r="A133" s="26" t="s">
        <v>318</v>
      </c>
      <c r="B133" s="26" t="str">
        <f aca="false">INDEX(Datos_Departamento,MATCH(A133,Datos_ID,0))</f>
        <v>Ventas</v>
      </c>
      <c r="C133" s="26" t="s">
        <v>327</v>
      </c>
      <c r="D133" s="26" t="s">
        <v>327</v>
      </c>
      <c r="E133" s="26" t="s">
        <v>327</v>
      </c>
      <c r="F133" s="26" t="s">
        <v>327</v>
      </c>
      <c r="G133" s="26" t="s">
        <v>327</v>
      </c>
      <c r="H133" s="26" t="s">
        <v>327</v>
      </c>
    </row>
    <row r="135" customFormat="false" ht="15" hidden="false" customHeight="false" outlineLevel="0" collapsed="false">
      <c r="A135" s="29" t="s">
        <v>329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4"/>
    <col collapsed="false" customWidth="true" hidden="false" outlineLevel="0" max="3" min="3" style="0" width="13"/>
    <col collapsed="false" customWidth="true" hidden="false" outlineLevel="0" max="4" min="4" style="0" width="12"/>
    <col collapsed="false" customWidth="true" hidden="false" outlineLevel="0" max="5" min="5" style="0" width="17"/>
    <col collapsed="false" customWidth="true" hidden="false" outlineLevel="0" max="6" min="6" style="0" width="15"/>
    <col collapsed="false" customWidth="true" hidden="false" outlineLevel="0" max="7" min="7" style="0" width="9"/>
    <col collapsed="false" customWidth="true" hidden="false" outlineLevel="0" max="8" min="8" style="0" width="12"/>
    <col collapsed="false" customWidth="true" hidden="false" outlineLevel="0" max="9" min="9" style="0" width="16"/>
    <col collapsed="false" customWidth="true" hidden="false" outlineLevel="0" max="10" min="10" style="0" width="18"/>
  </cols>
  <sheetData>
    <row r="1" customFormat="false" ht="31.5" hidden="false" customHeight="true" outlineLevel="0" collapsed="false">
      <c r="A1" s="25" t="s">
        <v>330</v>
      </c>
      <c r="B1" s="25" t="s">
        <v>331</v>
      </c>
      <c r="C1" s="25" t="s">
        <v>332</v>
      </c>
      <c r="D1" s="25" t="s">
        <v>333</v>
      </c>
      <c r="E1" s="25" t="s">
        <v>334</v>
      </c>
      <c r="F1" s="25" t="s">
        <v>335</v>
      </c>
      <c r="G1" s="25" t="s">
        <v>336</v>
      </c>
      <c r="H1" s="25" t="s">
        <v>337</v>
      </c>
      <c r="I1" s="25" t="s">
        <v>338</v>
      </c>
      <c r="J1" s="25" t="s">
        <v>339</v>
      </c>
    </row>
    <row r="2" customFormat="false" ht="15" hidden="false" customHeight="false" outlineLevel="0" collapsed="false">
      <c r="A2" s="26" t="s">
        <v>340</v>
      </c>
      <c r="B2" s="28" t="n">
        <v>46143</v>
      </c>
      <c r="C2" s="28" t="n">
        <v>46173</v>
      </c>
      <c r="D2" s="26" t="n">
        <f aca="false">COUNTIFS(Datos_Departamento,Crit_Depto,Datos_Ingreso,"&lt;="&amp;C2)-COUNTIFS(Datos_Departamento,Crit_Depto,Datos_Baja,"&lt;="&amp;C2)</f>
        <v>107</v>
      </c>
      <c r="E2" s="27" t="n">
        <f aca="false">SUMIFS(Datos_Salario,Datos_Departamento,Crit_Depto,Datos_Ingreso,"&lt;="&amp;C2)-SUMIFS(Datos_Salario,Datos_Departamento,Crit_Depto,Datos_Baja,"&lt;="&amp;C2)</f>
        <v>354390</v>
      </c>
      <c r="F2" s="26" t="n">
        <f aca="false">COUNTIFS(Datos_Departamento,Crit_Depto,Datos_Ingreso,"&gt;="&amp;B2,Datos_Ingreso,"&lt;="&amp;C2)</f>
        <v>4</v>
      </c>
      <c r="G2" s="26" t="n">
        <f aca="false">COUNTIFS(Datos_Departamento,Crit_Depto,Datos_Baja,"&gt;="&amp;B2,Datos_Baja,"&lt;="&amp;C2)</f>
        <v>1</v>
      </c>
      <c r="H2" s="30" t="n">
        <f aca="false">IFERROR(G2/D2,0)</f>
        <v>0.00934579439252336</v>
      </c>
      <c r="I2" s="30" t="n">
        <f aca="false">IFERROR(COUNTIFS(Pagos!$B$2:$B$133,Crit_Depto,Pagos!C$2:C$133,"Sí")/(COUNTIFS(Pagos!$B$2:$B$133,Crit_Depto,Pagos!C$2:C$133,"Sí")+COUNTIFS(Pagos!$B$2:$B$133,Crit_Depto,Pagos!C$2:C$133,"No")),0)</f>
        <v>0.962962962962963</v>
      </c>
      <c r="J2" s="27" t="n">
        <f aca="false">IFERROR(E2/D2,0)</f>
        <v>3312.05607476636</v>
      </c>
    </row>
    <row r="3" customFormat="false" ht="15" hidden="false" customHeight="false" outlineLevel="0" collapsed="false">
      <c r="A3" s="26" t="s">
        <v>341</v>
      </c>
      <c r="B3" s="28" t="n">
        <v>46174</v>
      </c>
      <c r="C3" s="28" t="n">
        <v>46203</v>
      </c>
      <c r="D3" s="26" t="n">
        <f aca="false">COUNTIFS(Datos_Departamento,Crit_Depto,Datos_Ingreso,"&lt;="&amp;C3)-COUNTIFS(Datos_Departamento,Crit_Depto,Datos_Baja,"&lt;="&amp;C3)</f>
        <v>110</v>
      </c>
      <c r="E3" s="27" t="n">
        <f aca="false">SUMIFS(Datos_Salario,Datos_Departamento,Crit_Depto,Datos_Ingreso,"&lt;="&amp;C3)-SUMIFS(Datos_Salario,Datos_Departamento,Crit_Depto,Datos_Baja,"&lt;="&amp;C3)</f>
        <v>366120</v>
      </c>
      <c r="F3" s="26" t="n">
        <f aca="false">COUNTIFS(Datos_Departamento,Crit_Depto,Datos_Ingreso,"&gt;="&amp;B3,Datos_Ingreso,"&lt;="&amp;C3)</f>
        <v>5</v>
      </c>
      <c r="G3" s="26" t="n">
        <f aca="false">COUNTIFS(Datos_Departamento,Crit_Depto,Datos_Baja,"&gt;="&amp;B3,Datos_Baja,"&lt;="&amp;C3)</f>
        <v>2</v>
      </c>
      <c r="H3" s="30" t="n">
        <f aca="false">IFERROR(G3/D3,0)</f>
        <v>0.0181818181818182</v>
      </c>
      <c r="I3" s="30" t="n">
        <f aca="false">IFERROR(COUNTIFS(Pagos!$B$2:$B$133,Crit_Depto,Pagos!D$2:D$133,"Sí")/(COUNTIFS(Pagos!$B$2:$B$133,Crit_Depto,Pagos!D$2:D$133,"Sí")+COUNTIFS(Pagos!$B$2:$B$133,Crit_Depto,Pagos!D$2:D$133,"No")),0)</f>
        <v>0.973214285714286</v>
      </c>
      <c r="J3" s="27" t="n">
        <f aca="false">IFERROR(E3/D3,0)</f>
        <v>3328.36363636364</v>
      </c>
    </row>
    <row r="4" customFormat="false" ht="15" hidden="false" customHeight="false" outlineLevel="0" collapsed="false">
      <c r="A4" s="26" t="s">
        <v>342</v>
      </c>
      <c r="B4" s="28" t="n">
        <v>46204</v>
      </c>
      <c r="C4" s="28" t="n">
        <v>46234</v>
      </c>
      <c r="D4" s="26" t="n">
        <f aca="false">COUNTIFS(Datos_Departamento,Crit_Depto,Datos_Ingreso,"&lt;="&amp;C4)-COUNTIFS(Datos_Departamento,Crit_Depto,Datos_Baja,"&lt;="&amp;C4)</f>
        <v>113</v>
      </c>
      <c r="E4" s="27" t="n">
        <f aca="false">SUMIFS(Datos_Salario,Datos_Departamento,Crit_Depto,Datos_Ingreso,"&lt;="&amp;C4)-SUMIFS(Datos_Salario,Datos_Departamento,Crit_Depto,Datos_Baja,"&lt;="&amp;C4)</f>
        <v>375830</v>
      </c>
      <c r="F4" s="26" t="n">
        <f aca="false">COUNTIFS(Datos_Departamento,Crit_Depto,Datos_Ingreso,"&gt;="&amp;B4,Datos_Ingreso,"&lt;="&amp;C4)</f>
        <v>4</v>
      </c>
      <c r="G4" s="26" t="n">
        <f aca="false">COUNTIFS(Datos_Departamento,Crit_Depto,Datos_Baja,"&gt;="&amp;B4,Datos_Baja,"&lt;="&amp;C4)</f>
        <v>1</v>
      </c>
      <c r="H4" s="30" t="n">
        <f aca="false">IFERROR(G4/D4,0)</f>
        <v>0.00884955752212389</v>
      </c>
      <c r="I4" s="30" t="n">
        <f aca="false">IFERROR(COUNTIFS(Pagos!$B$2:$B$133,Crit_Depto,Pagos!E$2:E$133,"Sí")/(COUNTIFS(Pagos!$B$2:$B$133,Crit_Depto,Pagos!E$2:E$133,"Sí")+COUNTIFS(Pagos!$B$2:$B$133,Crit_Depto,Pagos!E$2:E$133,"No")),0)</f>
        <v>0.973684210526316</v>
      </c>
      <c r="J4" s="27" t="n">
        <f aca="false">IFERROR(E4/D4,0)</f>
        <v>3325.92920353982</v>
      </c>
    </row>
    <row r="5" customFormat="false" ht="15" hidden="false" customHeight="false" outlineLevel="0" collapsed="false">
      <c r="A5" s="26" t="s">
        <v>343</v>
      </c>
      <c r="B5" s="28" t="n">
        <v>46235</v>
      </c>
      <c r="C5" s="28" t="n">
        <v>46265</v>
      </c>
      <c r="D5" s="26" t="n">
        <f aca="false">COUNTIFS(Datos_Departamento,Crit_Depto,Datos_Ingreso,"&lt;="&amp;C5)-COUNTIFS(Datos_Departamento,Crit_Depto,Datos_Baja,"&lt;="&amp;C5)</f>
        <v>116</v>
      </c>
      <c r="E5" s="27" t="n">
        <f aca="false">SUMIFS(Datos_Salario,Datos_Departamento,Crit_Depto,Datos_Ingreso,"&lt;="&amp;C5)-SUMIFS(Datos_Salario,Datos_Departamento,Crit_Depto,Datos_Baja,"&lt;="&amp;C5)</f>
        <v>386050</v>
      </c>
      <c r="F5" s="26" t="n">
        <f aca="false">COUNTIFS(Datos_Departamento,Crit_Depto,Datos_Ingreso,"&gt;="&amp;B5,Datos_Ingreso,"&lt;="&amp;C5)</f>
        <v>5</v>
      </c>
      <c r="G5" s="26" t="n">
        <f aca="false">COUNTIFS(Datos_Departamento,Crit_Depto,Datos_Baja,"&gt;="&amp;B5,Datos_Baja,"&lt;="&amp;C5)</f>
        <v>2</v>
      </c>
      <c r="H5" s="30" t="n">
        <f aca="false">IFERROR(G5/D5,0)</f>
        <v>0.0172413793103448</v>
      </c>
      <c r="I5" s="30" t="n">
        <f aca="false">IFERROR(COUNTIFS(Pagos!$B$2:$B$133,Crit_Depto,Pagos!F$2:F$133,"Sí")/(COUNTIFS(Pagos!$B$2:$B$133,Crit_Depto,Pagos!F$2:F$133,"Sí")+COUNTIFS(Pagos!$B$2:$B$133,Crit_Depto,Pagos!F$2:F$133,"No")),0)</f>
        <v>0.983050847457627</v>
      </c>
      <c r="J5" s="27" t="n">
        <f aca="false">IFERROR(E5/D5,0)</f>
        <v>3328.01724137931</v>
      </c>
    </row>
    <row r="6" customFormat="false" ht="15" hidden="false" customHeight="false" outlineLevel="0" collapsed="false">
      <c r="A6" s="26" t="s">
        <v>344</v>
      </c>
      <c r="B6" s="28" t="n">
        <v>46266</v>
      </c>
      <c r="C6" s="28" t="n">
        <v>46295</v>
      </c>
      <c r="D6" s="26" t="n">
        <f aca="false">COUNTIFS(Datos_Departamento,Crit_Depto,Datos_Ingreso,"&lt;="&amp;C6)-COUNTIFS(Datos_Departamento,Crit_Depto,Datos_Baja,"&lt;="&amp;C6)</f>
        <v>118</v>
      </c>
      <c r="E6" s="27" t="n">
        <f aca="false">SUMIFS(Datos_Salario,Datos_Departamento,Crit_Depto,Datos_Ingreso,"&lt;="&amp;C6)-SUMIFS(Datos_Salario,Datos_Departamento,Crit_Depto,Datos_Baja,"&lt;="&amp;C6)</f>
        <v>393260</v>
      </c>
      <c r="F6" s="26" t="n">
        <f aca="false">COUNTIFS(Datos_Departamento,Crit_Depto,Datos_Ingreso,"&gt;="&amp;B6,Datos_Ingreso,"&lt;="&amp;C6)</f>
        <v>4</v>
      </c>
      <c r="G6" s="26" t="n">
        <f aca="false">COUNTIFS(Datos_Departamento,Crit_Depto,Datos_Baja,"&gt;="&amp;B6,Datos_Baja,"&lt;="&amp;C6)</f>
        <v>2</v>
      </c>
      <c r="H6" s="30" t="n">
        <f aca="false">IFERROR(G6/D6,0)</f>
        <v>0.0169491525423729</v>
      </c>
      <c r="I6" s="30" t="n">
        <f aca="false">IFERROR(COUNTIFS(Pagos!$B$2:$B$133,Crit_Depto,Pagos!G$2:G$133,"Sí")/(COUNTIFS(Pagos!$B$2:$B$133,Crit_Depto,Pagos!G$2:G$133,"Sí")+COUNTIFS(Pagos!$B$2:$B$133,Crit_Depto,Pagos!G$2:G$133,"No")),0)</f>
        <v>0.983333333333333</v>
      </c>
      <c r="J6" s="27" t="n">
        <f aca="false">IFERROR(E6/D6,0)</f>
        <v>3332.71186440678</v>
      </c>
    </row>
    <row r="7" customFormat="false" ht="15" hidden="false" customHeight="false" outlineLevel="0" collapsed="false">
      <c r="A7" s="26" t="s">
        <v>345</v>
      </c>
      <c r="B7" s="28" t="n">
        <v>46296</v>
      </c>
      <c r="C7" s="28" t="n">
        <v>46326</v>
      </c>
      <c r="D7" s="26" t="n">
        <f aca="false">COUNTIFS(Datos_Departamento,Crit_Depto,Datos_Ingreso,"&lt;="&amp;C7)-COUNTIFS(Datos_Departamento,Crit_Depto,Datos_Baja,"&lt;="&amp;C7)</f>
        <v>120</v>
      </c>
      <c r="E7" s="27" t="n">
        <f aca="false">SUMIFS(Datos_Salario,Datos_Departamento,Crit_Depto,Datos_Ingreso,"&lt;="&amp;C7)-SUMIFS(Datos_Salario,Datos_Departamento,Crit_Depto,Datos_Baja,"&lt;="&amp;C7)</f>
        <v>404470</v>
      </c>
      <c r="F7" s="26" t="n">
        <f aca="false">COUNTIFS(Datos_Departamento,Crit_Depto,Datos_Ingreso,"&gt;="&amp;B7,Datos_Ingreso,"&lt;="&amp;C7)</f>
        <v>6</v>
      </c>
      <c r="G7" s="26" t="n">
        <f aca="false">COUNTIFS(Datos_Departamento,Crit_Depto,Datos_Baja,"&gt;="&amp;B7,Datos_Baja,"&lt;="&amp;C7)</f>
        <v>4</v>
      </c>
      <c r="H7" s="30" t="n">
        <f aca="false">IFERROR(G7/D7,0)</f>
        <v>0.0333333333333333</v>
      </c>
      <c r="I7" s="30" t="n">
        <f aca="false">IFERROR(COUNTIFS(Pagos!$B$2:$B$133,Crit_Depto,Pagos!H$2:H$133,"Sí")/(COUNTIFS(Pagos!$B$2:$B$133,Crit_Depto,Pagos!H$2:H$133,"Sí")+COUNTIFS(Pagos!$B$2:$B$133,Crit_Depto,Pagos!H$2:H$133,"No")),0)</f>
        <v>0.991935483870968</v>
      </c>
      <c r="J7" s="27" t="n">
        <f aca="false">IFERROR(E7/D7,0)</f>
        <v>3370.58333333333</v>
      </c>
    </row>
    <row r="9" customFormat="false" ht="15" hidden="false" customHeight="false" outlineLevel="0" collapsed="false">
      <c r="A9" s="29" t="s">
        <v>346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20"/>
    <col collapsed="false" customWidth="true" hidden="false" outlineLevel="0" max="4" min="4" style="0" width="13"/>
  </cols>
  <sheetData>
    <row r="1" customFormat="false" ht="16.15" hidden="false" customHeight="false" outlineLevel="0" collapsed="false">
      <c r="A1" s="31" t="s">
        <v>347</v>
      </c>
    </row>
    <row r="2" customFormat="false" ht="15" hidden="false" customHeight="false" outlineLevel="0" collapsed="false">
      <c r="A2" s="32" t="s">
        <v>348</v>
      </c>
      <c r="B2" s="33" t="str">
        <f aca="false">Dashboard!$E$6</f>
        <v>Todos</v>
      </c>
    </row>
    <row r="3" customFormat="false" ht="15" hidden="false" customHeight="false" outlineLevel="0" collapsed="false">
      <c r="A3" s="32" t="s">
        <v>349</v>
      </c>
      <c r="B3" s="33" t="str">
        <f aca="false">IF(B2="Todos","*",B2)</f>
        <v>*</v>
      </c>
    </row>
    <row r="5" customFormat="false" ht="15" hidden="false" customHeight="false" outlineLevel="0" collapsed="false">
      <c r="A5" s="34" t="s">
        <v>350</v>
      </c>
      <c r="B5" s="34" t="s">
        <v>351</v>
      </c>
      <c r="C5" s="34" t="s">
        <v>352</v>
      </c>
      <c r="D5" s="34" t="s">
        <v>353</v>
      </c>
    </row>
    <row r="6" customFormat="false" ht="15" hidden="false" customHeight="false" outlineLevel="0" collapsed="false">
      <c r="A6" s="33" t="s">
        <v>354</v>
      </c>
      <c r="B6" s="35" t="n">
        <f aca="false">Nomina_Mensual!D7</f>
        <v>120</v>
      </c>
      <c r="C6" s="35" t="n">
        <f aca="false">Nomina_Mensual!D6</f>
        <v>118</v>
      </c>
      <c r="D6" s="30" t="n">
        <f aca="false">IFERROR((B6-C6)/C6,0)</f>
        <v>0.0169491525423729</v>
      </c>
    </row>
    <row r="7" customFormat="false" ht="15" hidden="false" customHeight="false" outlineLevel="0" collapsed="false">
      <c r="A7" s="33" t="s">
        <v>355</v>
      </c>
      <c r="B7" s="27" t="n">
        <f aca="false">Nomina_Mensual!E7</f>
        <v>404470</v>
      </c>
      <c r="C7" s="27" t="n">
        <f aca="false">Nomina_Mensual!E6</f>
        <v>393260</v>
      </c>
      <c r="D7" s="30" t="n">
        <f aca="false">IFERROR((B7-C7)/C7,0)</f>
        <v>0.0285053145501704</v>
      </c>
    </row>
    <row r="8" customFormat="false" ht="15" hidden="false" customHeight="false" outlineLevel="0" collapsed="false">
      <c r="A8" s="33" t="s">
        <v>356</v>
      </c>
      <c r="B8" s="27" t="n">
        <f aca="false">Nomina_Mensual!J7</f>
        <v>3370.58333333333</v>
      </c>
      <c r="C8" s="27" t="n">
        <f aca="false">Nomina_Mensual!J6</f>
        <v>3332.71186440678</v>
      </c>
      <c r="D8" s="30" t="n">
        <f aca="false">IFERROR((B8-C8)/C8,0)</f>
        <v>0.0113635593076676</v>
      </c>
    </row>
    <row r="9" customFormat="false" ht="15" hidden="false" customHeight="false" outlineLevel="0" collapsed="false">
      <c r="A9" s="33" t="s">
        <v>338</v>
      </c>
      <c r="B9" s="30" t="n">
        <f aca="false">Nomina_Mensual!I7</f>
        <v>0.991935483870968</v>
      </c>
      <c r="C9" s="30" t="n">
        <f aca="false">Nomina_Mensual!I6</f>
        <v>0.983333333333333</v>
      </c>
      <c r="D9" s="30" t="n">
        <f aca="false">B9-C9</f>
        <v>0.00860215053763447</v>
      </c>
    </row>
    <row r="10" customFormat="false" ht="15" hidden="false" customHeight="false" outlineLevel="0" collapsed="false">
      <c r="A10" s="33" t="s">
        <v>357</v>
      </c>
      <c r="B10" s="35" t="n">
        <f aca="false">Nomina_Mensual!F7</f>
        <v>6</v>
      </c>
      <c r="C10" s="35" t="n">
        <f aca="false">Nomina_Mensual!F6</f>
        <v>4</v>
      </c>
      <c r="D10" s="30" t="n">
        <f aca="false">IFERROR((B10-C10)/C10,0)</f>
        <v>0.5</v>
      </c>
    </row>
    <row r="11" customFormat="false" ht="15" hidden="false" customHeight="false" outlineLevel="0" collapsed="false">
      <c r="A11" s="33" t="s">
        <v>358</v>
      </c>
      <c r="B11" s="30" t="n">
        <f aca="false">Nomina_Mensual!H7</f>
        <v>0.0333333333333333</v>
      </c>
      <c r="C11" s="30" t="n">
        <f aca="false">Nomina_Mensual!H6</f>
        <v>0.0169491525423729</v>
      </c>
      <c r="D11" s="30" t="n">
        <f aca="false">B11-C11</f>
        <v>0.0163841807909605</v>
      </c>
    </row>
    <row r="14" customFormat="false" ht="15" hidden="false" customHeight="false" outlineLevel="0" collapsed="false">
      <c r="A14" s="34" t="s">
        <v>17</v>
      </c>
      <c r="B14" s="34" t="s">
        <v>356</v>
      </c>
      <c r="C14" s="34" t="s">
        <v>333</v>
      </c>
    </row>
    <row r="15" customFormat="false" ht="15" hidden="false" customHeight="false" outlineLevel="0" collapsed="false">
      <c r="A15" s="26" t="s">
        <v>38</v>
      </c>
      <c r="B15" s="27" t="n">
        <f aca="false">IFERROR(AVERAGEIFS(Datos_Salario,Datos_Departamento,A15,Datos_Estado,"&lt;&gt;Baja"),0)</f>
        <v>3803.24324324324</v>
      </c>
      <c r="C15" s="26" t="n">
        <f aca="false">COUNTIFS(Datos_Departamento,A15,Datos_Estado,"&lt;&gt;Baja")</f>
        <v>37</v>
      </c>
    </row>
    <row r="16" customFormat="false" ht="15" hidden="false" customHeight="false" outlineLevel="0" collapsed="false">
      <c r="A16" s="26" t="s">
        <v>65</v>
      </c>
      <c r="B16" s="27" t="n">
        <f aca="false">IFERROR(AVERAGEIFS(Datos_Salario,Datos_Departamento,A16,Datos_Estado,"&lt;&gt;Baja"),0)</f>
        <v>3193.79310344828</v>
      </c>
      <c r="C16" s="26" t="n">
        <f aca="false">COUNTIFS(Datos_Departamento,A16,Datos_Estado,"&lt;&gt;Baja")</f>
        <v>29</v>
      </c>
    </row>
    <row r="17" customFormat="false" ht="15" hidden="false" customHeight="false" outlineLevel="0" collapsed="false">
      <c r="A17" s="26" t="s">
        <v>98</v>
      </c>
      <c r="B17" s="27" t="n">
        <f aca="false">IFERROR(AVERAGEIFS(Datos_Salario,Datos_Departamento,A17,Datos_Estado,"&lt;&gt;Baja"),0)</f>
        <v>3517.33333333333</v>
      </c>
      <c r="C17" s="26" t="n">
        <f aca="false">COUNTIFS(Datos_Departamento,A17,Datos_Estado,"&lt;&gt;Baja")</f>
        <v>15</v>
      </c>
    </row>
    <row r="18" customFormat="false" ht="15" hidden="false" customHeight="false" outlineLevel="0" collapsed="false">
      <c r="A18" s="26" t="s">
        <v>27</v>
      </c>
      <c r="B18" s="27" t="n">
        <f aca="false">IFERROR(AVERAGEIFS(Datos_Salario,Datos_Departamento,A18,Datos_Estado,"&lt;&gt;Baja"),0)</f>
        <v>3043.15789473684</v>
      </c>
      <c r="C18" s="26" t="n">
        <f aca="false">COUNTIFS(Datos_Departamento,A18,Datos_Estado,"&lt;&gt;Baja")</f>
        <v>19</v>
      </c>
    </row>
    <row r="19" customFormat="false" ht="15" hidden="false" customHeight="false" outlineLevel="0" collapsed="false">
      <c r="A19" s="26" t="s">
        <v>33</v>
      </c>
      <c r="B19" s="27" t="n">
        <f aca="false">IFERROR(AVERAGEIFS(Datos_Salario,Datos_Departamento,A19,Datos_Estado,"&lt;&gt;Baja"),0)</f>
        <v>3027.5</v>
      </c>
      <c r="C19" s="26" t="n">
        <f aca="false">COUNTIFS(Datos_Departamento,A19,Datos_Estado,"&lt;&gt;Baja")</f>
        <v>20</v>
      </c>
    </row>
    <row r="22" customFormat="false" ht="15" hidden="false" customHeight="false" outlineLevel="0" collapsed="false">
      <c r="A22" s="34" t="s">
        <v>359</v>
      </c>
      <c r="B22" s="34" t="s">
        <v>360</v>
      </c>
    </row>
    <row r="23" customFormat="false" ht="15" hidden="false" customHeight="false" outlineLevel="0" collapsed="false">
      <c r="A23" s="26" t="s">
        <v>361</v>
      </c>
      <c r="B23" s="26" t="n">
        <f aca="false">COUNTIFS(Datos_Departamento,Crit_Depto,Datos_Estado,"&lt;&gt;Baja",Datos_Salario,"&lt;2500")</f>
        <v>7</v>
      </c>
    </row>
    <row r="24" customFormat="false" ht="15" hidden="false" customHeight="false" outlineLevel="0" collapsed="false">
      <c r="A24" s="26" t="s">
        <v>362</v>
      </c>
      <c r="B24" s="26" t="n">
        <f aca="false">COUNTIFS(Datos_Departamento,Crit_Depto,Datos_Estado,"&lt;&gt;Baja",Datos_Salario,"&gt;=2500",Datos_Salario,"&lt;3000")</f>
        <v>25</v>
      </c>
    </row>
    <row r="25" customFormat="false" ht="15" hidden="false" customHeight="false" outlineLevel="0" collapsed="false">
      <c r="A25" s="26" t="s">
        <v>363</v>
      </c>
      <c r="B25" s="26" t="n">
        <f aca="false">COUNTIFS(Datos_Departamento,Crit_Depto,Datos_Estado,"&lt;&gt;Baja",Datos_Salario,"&gt;=3000",Datos_Salario,"&lt;3500")</f>
        <v>40</v>
      </c>
    </row>
    <row r="26" customFormat="false" ht="15" hidden="false" customHeight="false" outlineLevel="0" collapsed="false">
      <c r="A26" s="26" t="s">
        <v>364</v>
      </c>
      <c r="B26" s="26" t="n">
        <f aca="false">COUNTIFS(Datos_Departamento,Crit_Depto,Datos_Estado,"&lt;&gt;Baja",Datos_Salario,"&gt;=3500",Datos_Salario,"&lt;4000")</f>
        <v>30</v>
      </c>
    </row>
    <row r="27" customFormat="false" ht="15" hidden="false" customHeight="false" outlineLevel="0" collapsed="false">
      <c r="A27" s="26" t="s">
        <v>365</v>
      </c>
      <c r="B27" s="26" t="n">
        <f aca="false">COUNTIFS(Datos_Departamento,Crit_Depto,Datos_Estado,"&lt;&gt;Baja",Datos_Salario,"&gt;=4000",Datos_Salario,"&lt;4500")</f>
        <v>12</v>
      </c>
    </row>
    <row r="28" customFormat="false" ht="15" hidden="false" customHeight="false" outlineLevel="0" collapsed="false">
      <c r="A28" s="26" t="s">
        <v>366</v>
      </c>
      <c r="B28" s="26" t="n">
        <f aca="false">COUNTIFS(Datos_Departamento,Crit_Depto,Datos_Estado,"&lt;&gt;Baja",Datos_Salario,"&gt;=4500")</f>
        <v>6</v>
      </c>
    </row>
    <row r="31" customFormat="false" ht="15" hidden="false" customHeight="false" outlineLevel="0" collapsed="false">
      <c r="A31" s="32" t="s">
        <v>367</v>
      </c>
      <c r="B31" s="36" t="n">
        <f aca="false">RSQ(Vig_Salario,Vig_Rating)</f>
        <v>0.706750107998146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70"/>
    <col collapsed="false" customWidth="true" hidden="false" outlineLevel="0" max="3" min="3" style="0" width="58"/>
  </cols>
  <sheetData>
    <row r="1" customFormat="false" ht="17.35" hidden="false" customHeight="false" outlineLevel="0" collapsed="false">
      <c r="A1" s="37" t="s">
        <v>368</v>
      </c>
    </row>
    <row r="3" customFormat="false" ht="15" hidden="false" customHeight="false" outlineLevel="0" collapsed="false">
      <c r="A3" s="25" t="s">
        <v>369</v>
      </c>
      <c r="B3" s="25" t="s">
        <v>370</v>
      </c>
      <c r="C3" s="25" t="s">
        <v>371</v>
      </c>
    </row>
    <row r="4" customFormat="false" ht="48" hidden="false" customHeight="true" outlineLevel="0" collapsed="false">
      <c r="A4" s="38" t="s">
        <v>372</v>
      </c>
      <c r="B4" s="39" t="s">
        <v>373</v>
      </c>
      <c r="C4" s="40" t="s">
        <v>374</v>
      </c>
    </row>
    <row r="5" customFormat="false" ht="48" hidden="false" customHeight="true" outlineLevel="0" collapsed="false">
      <c r="A5" s="38" t="s">
        <v>375</v>
      </c>
      <c r="B5" s="39" t="s">
        <v>376</v>
      </c>
      <c r="C5" s="40" t="s">
        <v>377</v>
      </c>
    </row>
    <row r="6" customFormat="false" ht="48" hidden="false" customHeight="true" outlineLevel="0" collapsed="false">
      <c r="A6" s="38" t="s">
        <v>355</v>
      </c>
      <c r="B6" s="39" t="s">
        <v>378</v>
      </c>
      <c r="C6" s="40" t="s">
        <v>379</v>
      </c>
    </row>
    <row r="7" customFormat="false" ht="48" hidden="false" customHeight="true" outlineLevel="0" collapsed="false">
      <c r="A7" s="38" t="s">
        <v>356</v>
      </c>
      <c r="B7" s="39" t="s">
        <v>380</v>
      </c>
      <c r="C7" s="40" t="s">
        <v>381</v>
      </c>
    </row>
    <row r="8" customFormat="false" ht="48" hidden="false" customHeight="true" outlineLevel="0" collapsed="false">
      <c r="A8" s="38" t="s">
        <v>338</v>
      </c>
      <c r="B8" s="39" t="s">
        <v>382</v>
      </c>
      <c r="C8" s="40" t="s">
        <v>383</v>
      </c>
    </row>
    <row r="9" customFormat="false" ht="48" hidden="false" customHeight="true" outlineLevel="0" collapsed="false">
      <c r="A9" s="38" t="s">
        <v>357</v>
      </c>
      <c r="B9" s="39" t="s">
        <v>384</v>
      </c>
      <c r="C9" s="40" t="s">
        <v>385</v>
      </c>
    </row>
    <row r="10" customFormat="false" ht="48" hidden="false" customHeight="true" outlineLevel="0" collapsed="false">
      <c r="A10" s="38" t="s">
        <v>358</v>
      </c>
      <c r="B10" s="39" t="s">
        <v>386</v>
      </c>
      <c r="C10" s="40" t="s">
        <v>387</v>
      </c>
    </row>
    <row r="11" customFormat="false" ht="48" hidden="false" customHeight="true" outlineLevel="0" collapsed="false">
      <c r="A11" s="38" t="s">
        <v>388</v>
      </c>
      <c r="B11" s="39" t="s">
        <v>389</v>
      </c>
      <c r="C11" s="40" t="s">
        <v>390</v>
      </c>
    </row>
    <row r="12" customFormat="false" ht="48" hidden="false" customHeight="true" outlineLevel="0" collapsed="false">
      <c r="A12" s="38" t="s">
        <v>391</v>
      </c>
      <c r="B12" s="39" t="s">
        <v>392</v>
      </c>
      <c r="C12" s="40" t="s">
        <v>393</v>
      </c>
    </row>
    <row r="13" customFormat="false" ht="48" hidden="false" customHeight="true" outlineLevel="0" collapsed="false">
      <c r="A13" s="38" t="s">
        <v>394</v>
      </c>
      <c r="B13" s="39" t="s">
        <v>395</v>
      </c>
      <c r="C13" s="40" t="s">
        <v>396</v>
      </c>
    </row>
    <row r="14" customFormat="false" ht="48" hidden="false" customHeight="true" outlineLevel="0" collapsed="false">
      <c r="A14" s="38" t="s">
        <v>397</v>
      </c>
      <c r="B14" s="39" t="s">
        <v>398</v>
      </c>
      <c r="C14" s="40" t="s">
        <v>399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2026-10-21T13:47:57Z</dcterms:created>
  <dc:creator>openpyxl</dc:creator>
  <dc:description/>
  <dc:language>en-US</dc:language>
  <cp:lastModifiedBy/>
  <dcterms:modified xsi:type="dcterms:W3CDTF">2026-10-21T10:48:00Z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