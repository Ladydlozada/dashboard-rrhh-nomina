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PROYECTOS\dashboard-rrhh-nomina\"/>
    </mc:Choice>
  </mc:AlternateContent>
  <xr:revisionPtr revIDLastSave="0" documentId="13_ncr:1_{0CD603C7-287E-4BCB-B352-D90D4113112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shboard" sheetId="1" r:id="rId1"/>
    <sheet name="Datos" sheetId="2" r:id="rId2"/>
    <sheet name="Tablas_Pivot" sheetId="7" r:id="rId3"/>
    <sheet name="Dashboard_Segmentaciones" sheetId="8" r:id="rId4"/>
    <sheet name="Pagos" sheetId="3" r:id="rId5"/>
    <sheet name="Nomina_Mensual" sheetId="4" r:id="rId6"/>
    <sheet name="Calculos" sheetId="5" r:id="rId7"/>
    <sheet name="Formulas_Clave" sheetId="6" r:id="rId8"/>
  </sheets>
  <definedNames>
    <definedName name="Crit_Depto">Calculos!$B$3</definedName>
    <definedName name="Datos_Baja">Datos!$J$2:$J$133</definedName>
    <definedName name="Datos_Departamento">Datos!$C$2:$C$133</definedName>
    <definedName name="Datos_Estado">Datos!$H$2:$H$133</definedName>
    <definedName name="Datos_ID">Datos!$A$2:$A$133</definedName>
    <definedName name="Datos_Ingreso">Datos!$G$2:$G$133</definedName>
    <definedName name="Datos_Rating">Datos!$I$2:$I$133</definedName>
    <definedName name="Datos_Salario">Datos!$F$2:$F$133</definedName>
    <definedName name="NativeTimeline_Fecha_Ingreso">#N/A</definedName>
    <definedName name="SegmentaciónDeDatos_Departamento">#N/A</definedName>
    <definedName name="SegmentaciónDeDatos_Estado">#N/A</definedName>
    <definedName name="SegmentaciónDeDatos_Puesto">#N/A</definedName>
    <definedName name="Vig_Rating">Datos!$I$2:$I$121</definedName>
    <definedName name="Vig_Salario">Datos!$F$2:$F$121</definedName>
  </definedNames>
  <calcPr calcId="191029" iterateDelta="1E-4"/>
  <pivotCaches>
    <pivotCache cacheId="12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5" l="1"/>
  <c r="C19" i="5"/>
  <c r="B19" i="5"/>
  <c r="C18" i="5"/>
  <c r="B18" i="5"/>
  <c r="C17" i="5"/>
  <c r="B17" i="5"/>
  <c r="C16" i="5"/>
  <c r="B16" i="5"/>
  <c r="C15" i="5"/>
  <c r="B15" i="5"/>
  <c r="R39" i="1" s="1"/>
  <c r="B2" i="5"/>
  <c r="B3" i="5" s="1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58" i="1"/>
  <c r="R51" i="1"/>
  <c r="R38" i="1"/>
  <c r="D4" i="8"/>
  <c r="G4" i="8"/>
  <c r="J4" i="8"/>
  <c r="B28" i="5" l="1"/>
  <c r="B27" i="5"/>
  <c r="B26" i="5"/>
  <c r="B25" i="5"/>
  <c r="B24" i="5"/>
  <c r="F7" i="4"/>
  <c r="B10" i="5" s="1"/>
  <c r="E2" i="4"/>
  <c r="J2" i="4" s="1"/>
  <c r="E5" i="4"/>
  <c r="J5" i="4" s="1"/>
  <c r="G3" i="4"/>
  <c r="I6" i="4"/>
  <c r="C9" i="5" s="1"/>
  <c r="D5" i="4"/>
  <c r="F3" i="4"/>
  <c r="E3" i="4"/>
  <c r="D3" i="4"/>
  <c r="F6" i="4"/>
  <c r="C10" i="5" s="1"/>
  <c r="I7" i="4"/>
  <c r="G2" i="4"/>
  <c r="H2" i="4" s="1"/>
  <c r="F2" i="4"/>
  <c r="B23" i="5"/>
  <c r="E7" i="4"/>
  <c r="G5" i="4"/>
  <c r="I3" i="4"/>
  <c r="D2" i="4"/>
  <c r="D7" i="4"/>
  <c r="B6" i="5" s="1"/>
  <c r="F5" i="4"/>
  <c r="G6" i="4"/>
  <c r="I4" i="4"/>
  <c r="E6" i="4"/>
  <c r="G4" i="4"/>
  <c r="H4" i="4" s="1"/>
  <c r="I2" i="4"/>
  <c r="D6" i="4"/>
  <c r="C6" i="5" s="1"/>
  <c r="F4" i="4"/>
  <c r="E4" i="4"/>
  <c r="G7" i="4"/>
  <c r="I5" i="4"/>
  <c r="D4" i="4"/>
  <c r="J3" i="4" l="1"/>
  <c r="D6" i="5"/>
  <c r="B12" i="1" s="1"/>
  <c r="B10" i="1"/>
  <c r="J6" i="4"/>
  <c r="C8" i="5" s="1"/>
  <c r="C7" i="5"/>
  <c r="H6" i="4"/>
  <c r="C11" i="5" s="1"/>
  <c r="R43" i="1"/>
  <c r="H7" i="4"/>
  <c r="J4" i="4"/>
  <c r="H5" i="4"/>
  <c r="H3" i="4"/>
  <c r="B7" i="5"/>
  <c r="J7" i="4"/>
  <c r="B8" i="5" s="1"/>
  <c r="D10" i="5"/>
  <c r="R12" i="1" s="1"/>
  <c r="R10" i="1"/>
  <c r="R55" i="1"/>
  <c r="B9" i="5"/>
  <c r="B11" i="5" l="1"/>
  <c r="R47" i="1"/>
  <c r="J10" i="1"/>
  <c r="D8" i="5"/>
  <c r="J12" i="1" s="1"/>
  <c r="D7" i="5"/>
  <c r="F12" i="1" s="1"/>
  <c r="F10" i="1"/>
  <c r="D9" i="5"/>
  <c r="N12" i="1" s="1"/>
  <c r="N10" i="1"/>
  <c r="D11" i="5" l="1"/>
  <c r="V12" i="1" s="1"/>
  <c r="V10" i="1"/>
</calcChain>
</file>

<file path=xl/sharedStrings.xml><?xml version="1.0" encoding="utf-8"?>
<sst xmlns="http://schemas.openxmlformats.org/spreadsheetml/2006/main" count="1771" uniqueCount="415">
  <si>
    <t>📊  Análisis Inteligente de Sueldos  —  Panel KPI de Nómina</t>
  </si>
  <si>
    <t>Sueldos más claros  |  Mejor gente  |  Negocio más sólido          Proyecto de portafolio · Datos ficticios · Octubre 2026 (datos al 20/10)</t>
  </si>
  <si>
    <t>FILTRAR POR DEPARTAMENTO  ▸</t>
  </si>
  <si>
    <t>Todos</t>
  </si>
  <si>
    <t>Elige un departamento en la lista: se actualizan las tarjetas, la tendencia, el histograma y los hallazgos.</t>
  </si>
  <si>
    <t>TOTAL EMPLEADOS</t>
  </si>
  <si>
    <t>COSTO TOTAL NÓMINA</t>
  </si>
  <si>
    <t>SALARIO PROMEDIO</t>
  </si>
  <si>
    <t>% PAGO A TIEMPO</t>
  </si>
  <si>
    <t>NUEVAS CONTRATACIONES</t>
  </si>
  <si>
    <t>TASA DE ROTACIÓN</t>
  </si>
  <si>
    <t>Tendencia nómina, salario y dotación por departamento</t>
  </si>
  <si>
    <t>Distribución de salarios, desempeño y hallazgos</t>
  </si>
  <si>
    <t>Cómo leer este panel</t>
  </si>
  <si>
    <t>• Selector amarillo (arriba): filtra tarjetas, tendencia, histograma y hallazgos por departamento. Los gráficos de salario y de dotación por departamento siempre comparan los 5 departamentos, y la dispersión muestra a todos los vigentes.
• Todo se calcula con fórmulas desde las hojas Datos y Pagos (ver detalle en Formulas_Clave). Los datos son 100% ficticios.
• Empleados = activos + en licencia. Rotación = bajas del mes / headcount a fin de mes. Variaciones de % se muestran en puntos porcentuales (pp). En rotación, una subida se marca en rojo.</t>
  </si>
  <si>
    <t>ID Empleado</t>
  </si>
  <si>
    <t>Nombre</t>
  </si>
  <si>
    <t>Departamento</t>
  </si>
  <si>
    <t>Puesto</t>
  </si>
  <si>
    <t>Nivel</t>
  </si>
  <si>
    <t>Salario Mensual</t>
  </si>
  <si>
    <t>Fecha Ingreso</t>
  </si>
  <si>
    <t>Estado</t>
  </si>
  <si>
    <t>Rating Desempeño</t>
  </si>
  <si>
    <t>Fecha Baja</t>
  </si>
  <si>
    <t>E001</t>
  </si>
  <si>
    <t>Lucía Rodríguez</t>
  </si>
  <si>
    <t>Ventas</t>
  </si>
  <si>
    <t>Ejecutivo de Ventas</t>
  </si>
  <si>
    <t>Analista</t>
  </si>
  <si>
    <t>Activo</t>
  </si>
  <si>
    <t>E003</t>
  </si>
  <si>
    <t>Julieta Fernández</t>
  </si>
  <si>
    <t>Operaciones</t>
  </si>
  <si>
    <t>Especialista en Soporte</t>
  </si>
  <si>
    <t>Especialista</t>
  </si>
  <si>
    <t>E004</t>
  </si>
  <si>
    <t>Isabella Suárez</t>
  </si>
  <si>
    <t>IT</t>
  </si>
  <si>
    <t>Arquitecto de Software</t>
  </si>
  <si>
    <t>Senior</t>
  </si>
  <si>
    <t>Licencia</t>
  </si>
  <si>
    <t>E006</t>
  </si>
  <si>
    <t>Ramiro López</t>
  </si>
  <si>
    <t>Account Manager</t>
  </si>
  <si>
    <t>E007</t>
  </si>
  <si>
    <t>Valentina Ramírez</t>
  </si>
  <si>
    <t>QA Analyst</t>
  </si>
  <si>
    <t>E008</t>
  </si>
  <si>
    <t>Leandro Ibáñez</t>
  </si>
  <si>
    <t>Desarrollador Sr</t>
  </si>
  <si>
    <t>E009</t>
  </si>
  <si>
    <t>Antonia Acosta</t>
  </si>
  <si>
    <t>E011</t>
  </si>
  <si>
    <t>Bruno Acosta</t>
  </si>
  <si>
    <t>E012</t>
  </si>
  <si>
    <t>Daniela Núñez</t>
  </si>
  <si>
    <t>E013</t>
  </si>
  <si>
    <t>Emiliano Vera</t>
  </si>
  <si>
    <t>E014</t>
  </si>
  <si>
    <t>Catalina Pérez</t>
  </si>
  <si>
    <t>Desarrollador Jr</t>
  </si>
  <si>
    <t>Junior</t>
  </si>
  <si>
    <t>E015</t>
  </si>
  <si>
    <t>Camila Ramírez</t>
  </si>
  <si>
    <t>RRHH</t>
  </si>
  <si>
    <t>Generalista de RRHH</t>
  </si>
  <si>
    <t>E017</t>
  </si>
  <si>
    <t>Julián Rojas</t>
  </si>
  <si>
    <t>Coordinador Logístico</t>
  </si>
  <si>
    <t>E018</t>
  </si>
  <si>
    <t>Abril Sánchez</t>
  </si>
  <si>
    <t>Representante Comercial</t>
  </si>
  <si>
    <t>E019</t>
  </si>
  <si>
    <t>Valentina Álvarez</t>
  </si>
  <si>
    <t>Reclutador</t>
  </si>
  <si>
    <t>E020</t>
  </si>
  <si>
    <t>Joaquín Álvarez</t>
  </si>
  <si>
    <t>DevOps Engineer</t>
  </si>
  <si>
    <t>E021</t>
  </si>
  <si>
    <t>Antonia Fernández</t>
  </si>
  <si>
    <t>E022</t>
  </si>
  <si>
    <t>Sebastián Gómez</t>
  </si>
  <si>
    <t>E023</t>
  </si>
  <si>
    <t>Antonia Benítez</t>
  </si>
  <si>
    <t>E024</t>
  </si>
  <si>
    <t>Joaquín Sánchez</t>
  </si>
  <si>
    <t>E025</t>
  </si>
  <si>
    <t>Victoria Núñez</t>
  </si>
  <si>
    <t>E026</t>
  </si>
  <si>
    <t>Valentina García</t>
  </si>
  <si>
    <t>Especialista en Nómina</t>
  </si>
  <si>
    <t>E027</t>
  </si>
  <si>
    <t>Renata Medina</t>
  </si>
  <si>
    <t>E028</t>
  </si>
  <si>
    <t>Sofía Rodríguez</t>
  </si>
  <si>
    <t>E029</t>
  </si>
  <si>
    <t>Josefina Martínez</t>
  </si>
  <si>
    <t>Finanzas</t>
  </si>
  <si>
    <t>Controller</t>
  </si>
  <si>
    <t>E030</t>
  </si>
  <si>
    <t>Emilia Flores</t>
  </si>
  <si>
    <t>E032</t>
  </si>
  <si>
    <t>Rocío Romero</t>
  </si>
  <si>
    <t>E033</t>
  </si>
  <si>
    <t>Tomás Medina</t>
  </si>
  <si>
    <t>E034</t>
  </si>
  <si>
    <t>Emiliano Díaz</t>
  </si>
  <si>
    <t>E035</t>
  </si>
  <si>
    <t>Valentina López</t>
  </si>
  <si>
    <t>E036</t>
  </si>
  <si>
    <t>Alejandro Álvarez</t>
  </si>
  <si>
    <t>E037</t>
  </si>
  <si>
    <t>Andrés Vera</t>
  </si>
  <si>
    <t>E038</t>
  </si>
  <si>
    <t>Valentina Sánchez</t>
  </si>
  <si>
    <t>E040</t>
  </si>
  <si>
    <t>Sofía González</t>
  </si>
  <si>
    <t>E041</t>
  </si>
  <si>
    <t>Andrés Benítez</t>
  </si>
  <si>
    <t>E042</t>
  </si>
  <si>
    <t>Valeria Rivas</t>
  </si>
  <si>
    <t>E043</t>
  </si>
  <si>
    <t>Diego Rojas</t>
  </si>
  <si>
    <t>E044</t>
  </si>
  <si>
    <t>Julián Molina</t>
  </si>
  <si>
    <t>Tesorero</t>
  </si>
  <si>
    <t>E045</t>
  </si>
  <si>
    <t>Tomás Ramírez</t>
  </si>
  <si>
    <t>E046</t>
  </si>
  <si>
    <t>Martina Rodríguez</t>
  </si>
  <si>
    <t>Analista de Operaciones</t>
  </si>
  <si>
    <t>E047</t>
  </si>
  <si>
    <t>Valentina Fernández</t>
  </si>
  <si>
    <t>E048</t>
  </si>
  <si>
    <t>Julieta Núñez</t>
  </si>
  <si>
    <t>E049</t>
  </si>
  <si>
    <t>Sofía Ibáñez</t>
  </si>
  <si>
    <t>E050</t>
  </si>
  <si>
    <t>Antonella García</t>
  </si>
  <si>
    <t>E051</t>
  </si>
  <si>
    <t>Victoria Gómez</t>
  </si>
  <si>
    <t>Analista Financiero</t>
  </si>
  <si>
    <t>E052</t>
  </si>
  <si>
    <t>Facundo Díaz</t>
  </si>
  <si>
    <t>E053</t>
  </si>
  <si>
    <t>Daniela Molina</t>
  </si>
  <si>
    <t>E055</t>
  </si>
  <si>
    <t>Facundo Silva</t>
  </si>
  <si>
    <t>E057</t>
  </si>
  <si>
    <t>Lucía Castro</t>
  </si>
  <si>
    <t>E058</t>
  </si>
  <si>
    <t>Rodrigo González</t>
  </si>
  <si>
    <t>E059</t>
  </si>
  <si>
    <t>Julieta Rodríguez</t>
  </si>
  <si>
    <t>E060</t>
  </si>
  <si>
    <t>Emilia Ortiz</t>
  </si>
  <si>
    <t>E061</t>
  </si>
  <si>
    <t>Emilia Castro</t>
  </si>
  <si>
    <t>E062</t>
  </si>
  <si>
    <t>Facundo García</t>
  </si>
  <si>
    <t>E063</t>
  </si>
  <si>
    <t>Paula Silva</t>
  </si>
  <si>
    <t>E064</t>
  </si>
  <si>
    <t>Paula Romero</t>
  </si>
  <si>
    <t>E065</t>
  </si>
  <si>
    <t>Lucas Herrera</t>
  </si>
  <si>
    <t>E066</t>
  </si>
  <si>
    <t>Milagros González</t>
  </si>
  <si>
    <t>E067</t>
  </si>
  <si>
    <t>Rocío González</t>
  </si>
  <si>
    <t>E068</t>
  </si>
  <si>
    <t>Maximiliano Fernández</t>
  </si>
  <si>
    <t>Analista de RRHH</t>
  </si>
  <si>
    <t>E069</t>
  </si>
  <si>
    <t>Isabella Benítez</t>
  </si>
  <si>
    <t>E070</t>
  </si>
  <si>
    <t>Camila Castro</t>
  </si>
  <si>
    <t>E071</t>
  </si>
  <si>
    <t>Victoria Castro</t>
  </si>
  <si>
    <t>E072</t>
  </si>
  <si>
    <t>Florencia Núñez</t>
  </si>
  <si>
    <t>E073</t>
  </si>
  <si>
    <t>Ignacio Núñez</t>
  </si>
  <si>
    <t>E074</t>
  </si>
  <si>
    <t>Valeria Martínez</t>
  </si>
  <si>
    <t>E075</t>
  </si>
  <si>
    <t>Ignacio Gómez</t>
  </si>
  <si>
    <t>E076</t>
  </si>
  <si>
    <t>Paula Suárez</t>
  </si>
  <si>
    <t>Contador</t>
  </si>
  <si>
    <t>E077</t>
  </si>
  <si>
    <t>Milagros Pérez</t>
  </si>
  <si>
    <t>E079</t>
  </si>
  <si>
    <t>Alejandro Molina</t>
  </si>
  <si>
    <t>E080</t>
  </si>
  <si>
    <t>Santiago Sánchez</t>
  </si>
  <si>
    <t>E081</t>
  </si>
  <si>
    <t>Emiliano Gómez</t>
  </si>
  <si>
    <t>E082</t>
  </si>
  <si>
    <t>Emilia Ruiz</t>
  </si>
  <si>
    <t>E083</t>
  </si>
  <si>
    <t>Ximena Rojas</t>
  </si>
  <si>
    <t>E084</t>
  </si>
  <si>
    <t>Andrés Gómez</t>
  </si>
  <si>
    <t>E085</t>
  </si>
  <si>
    <t>Nicolás Benítez</t>
  </si>
  <si>
    <t>E086</t>
  </si>
  <si>
    <t>Franco Molina</t>
  </si>
  <si>
    <t>E087</t>
  </si>
  <si>
    <t>Rodrigo Ramírez</t>
  </si>
  <si>
    <t>E088</t>
  </si>
  <si>
    <t>Benjamín Núñez</t>
  </si>
  <si>
    <t>E089</t>
  </si>
  <si>
    <t>Joaquín Ortiz</t>
  </si>
  <si>
    <t>E091</t>
  </si>
  <si>
    <t>Ignacio Ramírez</t>
  </si>
  <si>
    <t>E092</t>
  </si>
  <si>
    <t>Rocío Ruiz</t>
  </si>
  <si>
    <t>E093</t>
  </si>
  <si>
    <t>Martina Álvarez</t>
  </si>
  <si>
    <t>E094</t>
  </si>
  <si>
    <t>Gonzalo Martínez</t>
  </si>
  <si>
    <t>E095</t>
  </si>
  <si>
    <t>Daniela Torres</t>
  </si>
  <si>
    <t>E096</t>
  </si>
  <si>
    <t>Matías López</t>
  </si>
  <si>
    <t>E097</t>
  </si>
  <si>
    <t>Ramiro Ramírez</t>
  </si>
  <si>
    <t>E098</t>
  </si>
  <si>
    <t>Camila Pérez</t>
  </si>
  <si>
    <t>E100</t>
  </si>
  <si>
    <t>Valentina Díaz</t>
  </si>
  <si>
    <t>E101</t>
  </si>
  <si>
    <t>Mateo Torres</t>
  </si>
  <si>
    <t>E103</t>
  </si>
  <si>
    <t>Alejandro Castro</t>
  </si>
  <si>
    <t>E104</t>
  </si>
  <si>
    <t>Benjamín Suárez</t>
  </si>
  <si>
    <t>E105</t>
  </si>
  <si>
    <t>Daniela Romero</t>
  </si>
  <si>
    <t>E106</t>
  </si>
  <si>
    <t>Lucía Sánchez</t>
  </si>
  <si>
    <t>E107</t>
  </si>
  <si>
    <t>Tomás López</t>
  </si>
  <si>
    <t>E108</t>
  </si>
  <si>
    <t>Florencia Silva</t>
  </si>
  <si>
    <t>E109</t>
  </si>
  <si>
    <t>Isabella Fernández</t>
  </si>
  <si>
    <t>E110</t>
  </si>
  <si>
    <t>Camila Martínez</t>
  </si>
  <si>
    <t>E111</t>
  </si>
  <si>
    <t>Lucía Álvarez</t>
  </si>
  <si>
    <t>E112</t>
  </si>
  <si>
    <t>Antonella Vera</t>
  </si>
  <si>
    <t>E113</t>
  </si>
  <si>
    <t>Valeria Ruiz</t>
  </si>
  <si>
    <t>E114</t>
  </si>
  <si>
    <t>Benjamín Pérez</t>
  </si>
  <si>
    <t>E115</t>
  </si>
  <si>
    <t>Benjamín Benítez</t>
  </si>
  <si>
    <t>E116</t>
  </si>
  <si>
    <t>Renata Ramírez</t>
  </si>
  <si>
    <t>E117</t>
  </si>
  <si>
    <t>Carolina Martínez</t>
  </si>
  <si>
    <t>E118</t>
  </si>
  <si>
    <t>Abril Rojas</t>
  </si>
  <si>
    <t>E119</t>
  </si>
  <si>
    <t>Maximiliano Castro</t>
  </si>
  <si>
    <t>E120</t>
  </si>
  <si>
    <t>Joaquín Ruiz</t>
  </si>
  <si>
    <t>E121</t>
  </si>
  <si>
    <t>Alejandro López</t>
  </si>
  <si>
    <t>E122</t>
  </si>
  <si>
    <t>Gabriela Núñez</t>
  </si>
  <si>
    <t>E123</t>
  </si>
  <si>
    <t>Franco Ruiz</t>
  </si>
  <si>
    <t>E124</t>
  </si>
  <si>
    <t>Matías González</t>
  </si>
  <si>
    <t>E125</t>
  </si>
  <si>
    <t>Julián Ibáñez</t>
  </si>
  <si>
    <t>E126</t>
  </si>
  <si>
    <t>Ignacio Flores</t>
  </si>
  <si>
    <t>E127</t>
  </si>
  <si>
    <t>Ramiro Ruiz</t>
  </si>
  <si>
    <t>E128</t>
  </si>
  <si>
    <t>Tomás Acosta</t>
  </si>
  <si>
    <t>E129</t>
  </si>
  <si>
    <t>Valentina Ibáñez</t>
  </si>
  <si>
    <t>E130</t>
  </si>
  <si>
    <t>Tomás Sánchez</t>
  </si>
  <si>
    <t>E131</t>
  </si>
  <si>
    <t>Ignacio Martínez</t>
  </si>
  <si>
    <t>E132</t>
  </si>
  <si>
    <t>Antonella Ibáñez</t>
  </si>
  <si>
    <t>E002</t>
  </si>
  <si>
    <t>Ramiro Romero</t>
  </si>
  <si>
    <t>Baja</t>
  </si>
  <si>
    <t>E005</t>
  </si>
  <si>
    <t>Joaquín Núñez</t>
  </si>
  <si>
    <t>E010</t>
  </si>
  <si>
    <t>Joaquín Medina</t>
  </si>
  <si>
    <t>E016</t>
  </si>
  <si>
    <t>Ramiro Núñez</t>
  </si>
  <si>
    <t>E031</t>
  </si>
  <si>
    <t>Matías Gómez</t>
  </si>
  <si>
    <t>E039</t>
  </si>
  <si>
    <t>Valeria Silva</t>
  </si>
  <si>
    <t>E054</t>
  </si>
  <si>
    <t>Emilia García</t>
  </si>
  <si>
    <t>E056</t>
  </si>
  <si>
    <t>Catalina Romero</t>
  </si>
  <si>
    <t>E078</t>
  </si>
  <si>
    <t>Catalina Ramírez</t>
  </si>
  <si>
    <t>E090</t>
  </si>
  <si>
    <t>Lucía Rivas</t>
  </si>
  <si>
    <t>E099</t>
  </si>
  <si>
    <t>Emilia Herrera</t>
  </si>
  <si>
    <t>E102</t>
  </si>
  <si>
    <t>Valeria Ramírez</t>
  </si>
  <si>
    <t>Nota: datos 100% ficticios, generados para fines de portafolio. Las filas de Estado = 'Baja' (ex-empleados con Fecha Baja) van al final de la tabla. 'Licencia' cuenta como empleado vigente.</t>
  </si>
  <si>
    <t>Mayo 2026</t>
  </si>
  <si>
    <t>Junio 2026</t>
  </si>
  <si>
    <t>Julio 2026</t>
  </si>
  <si>
    <t>Agosto 2026</t>
  </si>
  <si>
    <t>Septiembre 2026</t>
  </si>
  <si>
    <t>Octubre 2026</t>
  </si>
  <si>
    <t>Sí</t>
  </si>
  <si>
    <t>No</t>
  </si>
  <si>
    <t>Sí = pagado a tiempo, No = pago tardío, vacío = no era empleado ese mes. Datos ficticios.</t>
  </si>
  <si>
    <t>Mes</t>
  </si>
  <si>
    <t>Inicio de mes</t>
  </si>
  <si>
    <t>Fin de mes</t>
  </si>
  <si>
    <t>Headcount</t>
  </si>
  <si>
    <t>Costo Nómina ($)</t>
  </si>
  <si>
    <t>Contrataciones</t>
  </si>
  <si>
    <t>Bajas</t>
  </si>
  <si>
    <t>Rotación %</t>
  </si>
  <si>
    <t>% Pago a Tiempo</t>
  </si>
  <si>
    <t>Salario Promedio ($)</t>
  </si>
  <si>
    <t>Mayo</t>
  </si>
  <si>
    <t>Junio</t>
  </si>
  <si>
    <t>Julio</t>
  </si>
  <si>
    <t>Agosto</t>
  </si>
  <si>
    <t>Septiembre</t>
  </si>
  <si>
    <t>Octubre</t>
  </si>
  <si>
    <t>Todo se calcula desde las hojas Datos y Pagos y responde al selector de departamento del Dashboard. Headcount = ingresados a fin de mes menos bajas a fin de mes. Octubre incluye datos hasta el 20/10/2026.</t>
  </si>
  <si>
    <t>Cálculos de KPI (alimentan el Dashboard)</t>
  </si>
  <si>
    <t>Departamento seleccionado</t>
  </si>
  <si>
    <t>Criterio usado en las fórmulas</t>
  </si>
  <si>
    <t>Indicador</t>
  </si>
  <si>
    <t>Valor Actual (Oct)</t>
  </si>
  <si>
    <t>Mes Anterior (Sep)</t>
  </si>
  <si>
    <t>Variación</t>
  </si>
  <si>
    <t>Total Empleados</t>
  </si>
  <si>
    <t>Costo Total de Nómina</t>
  </si>
  <si>
    <t>Salario Promedio</t>
  </si>
  <si>
    <t>Nuevas Contrataciones</t>
  </si>
  <si>
    <t>Tasa de Rotación</t>
  </si>
  <si>
    <t>Rango Salarial</t>
  </si>
  <si>
    <t>Empleados vigentes</t>
  </si>
  <si>
    <t>&lt; $2.5K</t>
  </si>
  <si>
    <t>$2.5K - $3.0K</t>
  </si>
  <si>
    <t>$3.0K - $3.5K</t>
  </si>
  <si>
    <t>$3.5K - $4.0K</t>
  </si>
  <si>
    <t>$4.0K - $4.5K</t>
  </si>
  <si>
    <t>&gt; $4.5K</t>
  </si>
  <si>
    <t>R² desempeño vs. salario (vigentes)</t>
  </si>
  <si>
    <t>Fórmulas clave de los KPI</t>
  </si>
  <si>
    <t>KPI</t>
  </si>
  <si>
    <t>Fórmula Excel (ejemplo, fila de octubre)</t>
  </si>
  <si>
    <t>Explicación</t>
  </si>
  <si>
    <t>Criterio de departamento</t>
  </si>
  <si>
    <t>=IF(Dashboard!E6="Todos","*",Dashboard!E6)</t>
  </si>
  <si>
    <t>Si el selector dice 'Todos' usa el comodín * (cualquier texto); si no, filtra por ese departamento. Se reutiliza como Crit_Depto.</t>
  </si>
  <si>
    <t>Total Empleados (Headcount)</t>
  </si>
  <si>
    <t>=COUNTIFS(Datos_Departamento,Crit_Depto,Datos_Ingreso,"&lt;="&amp;C7)-COUNTIFS(Datos_Departamento,Crit_Depto,Datos_Baja,"&lt;="&amp;C7)</t>
  </si>
  <si>
    <t>Ingresados a fin de mes menos los que ya tienen fecha de baja. Incluye personal en licencia.</t>
  </si>
  <si>
    <t>=SUMIFS(Datos_Salario,Datos_Departamento,Crit_Depto,Datos_Ingreso,"&lt;="&amp;C7)-SUMIFS(Datos_Salario,Datos_Departamento,Crit_Depto,Datos_Baja,"&lt;="&amp;C7)</t>
  </si>
  <si>
    <t>Suma de salarios de los vigentes a fin de mes.</t>
  </si>
  <si>
    <t>=IFERROR(E7/D7,0)</t>
  </si>
  <si>
    <t>Costo de nómina dividido por el headcount del mes.</t>
  </si>
  <si>
    <t>=COUNTIFS(Pagos!B:B,Crit_Depto,Pagos!H:H,"Sí")/(COUNTIFS(...,"Sí")+COUNTIFS(...,"No"))</t>
  </si>
  <si>
    <t>Pagos hechos a tiempo sobre el total de pagos del mes (hoja Pagos).</t>
  </si>
  <si>
    <t>=COUNTIFS(Datos_Departamento,Crit_Depto,Datos_Ingreso,"&gt;="&amp;B7,Datos_Ingreso,"&lt;="&amp;C7)</t>
  </si>
  <si>
    <t>Empleados cuya fecha de ingreso cae dentro del mes.</t>
  </si>
  <si>
    <t>=IFERROR(G7/D7,0)</t>
  </si>
  <si>
    <t>Bajas del mes (fecha de baja dentro del mes) dividido por el headcount a fin de mes.</t>
  </si>
  <si>
    <t>Variación vs. mes anterior</t>
  </si>
  <si>
    <t>=IFERROR((B6-C6)/C6,0)   |   =B9-C9 (en pp para porcentajes)</t>
  </si>
  <si>
    <t>Variación relativa para cantidades y montos; diferencia en puntos porcentuales para % de pago y rotación.</t>
  </si>
  <si>
    <t>Salario Promedio por Depto.</t>
  </si>
  <si>
    <t>=AVERAGEIFS(Datos_Salario,Datos_Departamento,"IT",Datos_Estado,"&lt;&gt;Baja")</t>
  </si>
  <si>
    <t>Promedio de vigentes por departamento (hoja Calculos).</t>
  </si>
  <si>
    <t>Distribución salarial</t>
  </si>
  <si>
    <t>=COUNTIFS(Datos_Departamento,Crit_Depto,Datos_Estado,"&lt;&gt;Baja",Datos_Salario,"&gt;=2500",Datos_Salario,"&lt;3000")</t>
  </si>
  <si>
    <t>Cuenta vigentes por rango de salario; alimenta el histograma.</t>
  </si>
  <si>
    <t>R² desempeño vs. salario</t>
  </si>
  <si>
    <t>=RSQ(Vig_Salario,Vig_Rating)</t>
  </si>
  <si>
    <t>Qué parte de la variación salarial explica el rating de desempeño.</t>
  </si>
  <si>
    <t>Etiquetas de fila</t>
  </si>
  <si>
    <t>Total general</t>
  </si>
  <si>
    <t>Empleados</t>
  </si>
  <si>
    <t>Costo nómina</t>
  </si>
  <si>
    <t>Salario promedio</t>
  </si>
  <si>
    <t>Salario por departamento</t>
  </si>
  <si>
    <t>Dotación por departamento</t>
  </si>
  <si>
    <t>2000-2499</t>
  </si>
  <si>
    <t>2500-2999</t>
  </si>
  <si>
    <t>3000-3499</t>
  </si>
  <si>
    <t>3500-3999</t>
  </si>
  <si>
    <t>4000-4499</t>
  </si>
  <si>
    <t>4500-5000</t>
  </si>
  <si>
    <t>Dashboard de nómina y RRHH</t>
  </si>
  <si>
    <t>Costo de nómina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</si>
</sst>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8" formatCode="dd/mm/yyyy"/>
  </numFmts>
  <fonts count="24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5B6670"/>
      <name val="Arial"/>
      <charset val="1"/>
    </font>
    <font>
      <b/>
      <sz val="9"/>
      <color rgb="FF10263B"/>
      <name val="Arial"/>
      <charset val="1"/>
    </font>
    <font>
      <b/>
      <sz val="12"/>
      <color rgb="FF10263B"/>
      <name val="Arial"/>
      <charset val="1"/>
    </font>
    <font>
      <i/>
      <sz val="9"/>
      <color rgb="FF5B6670"/>
      <name val="Arial"/>
      <charset val="1"/>
    </font>
    <font>
      <b/>
      <sz val="9"/>
      <color rgb="FF5B6670"/>
      <name val="Arial"/>
      <charset val="1"/>
    </font>
    <font>
      <b/>
      <sz val="20"/>
      <color rgb="FF0E7C7B"/>
      <name val="Arial"/>
      <charset val="1"/>
    </font>
    <font>
      <b/>
      <sz val="20"/>
      <color rgb="FF76B041"/>
      <name val="Arial"/>
      <charset val="1"/>
    </font>
    <font>
      <b/>
      <sz val="20"/>
      <color rgb="FF5B5F97"/>
      <name val="Arial"/>
      <charset val="1"/>
    </font>
    <font>
      <b/>
      <sz val="20"/>
      <color rgb="FFF2A541"/>
      <name val="Arial"/>
      <charset val="1"/>
    </font>
    <font>
      <b/>
      <sz val="20"/>
      <color rgb="FF10263B"/>
      <name val="Arial"/>
      <charset val="1"/>
    </font>
    <font>
      <b/>
      <sz val="20"/>
      <color rgb="FFE4572E"/>
      <name val="Arial"/>
      <charset val="1"/>
    </font>
    <font>
      <b/>
      <sz val="11"/>
      <color rgb="FFFFFFFF"/>
      <name val="Arial"/>
      <charset val="1"/>
    </font>
    <font>
      <sz val="10"/>
      <color rgb="FF2B3640"/>
      <name val="Arial"/>
      <charset val="1"/>
    </font>
    <font>
      <sz val="10"/>
      <color rgb="FF5B6670"/>
      <name val="Arial"/>
      <charset val="1"/>
    </font>
    <font>
      <sz val="10"/>
      <name val="Arial"/>
      <charset val="1"/>
    </font>
    <font>
      <b/>
      <sz val="13"/>
      <color rgb="FF10263B"/>
      <name val="Arial"/>
      <charset val="1"/>
    </font>
    <font>
      <b/>
      <sz val="10"/>
      <name val="Arial"/>
      <charset val="1"/>
    </font>
    <font>
      <b/>
      <sz val="14"/>
      <color rgb="FF10263B"/>
      <name val="Arial"/>
      <charset val="1"/>
    </font>
    <font>
      <sz val="9"/>
      <color rgb="FF1565C0"/>
      <name val="Consolas"/>
      <charset val="1"/>
    </font>
    <font>
      <b/>
      <sz val="14"/>
      <color rgb="FF0E7C7B"/>
      <name val="Calibri"/>
      <family val="2"/>
    </font>
    <font>
      <b/>
      <sz val="18"/>
      <color rgb="FF0E7C7B"/>
      <name val="Calibri"/>
      <family val="2"/>
    </font>
    <font>
      <b/>
      <sz val="20"/>
      <color rgb="FF10263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0263B"/>
        <bgColor rgb="FF2B3640"/>
      </patternFill>
    </fill>
    <fill>
      <patternFill patternType="solid">
        <fgColor rgb="FFFFF2CC"/>
        <bgColor rgb="FFF4F6F8"/>
      </patternFill>
    </fill>
    <fill>
      <patternFill patternType="solid">
        <fgColor rgb="FF0E7C7B"/>
        <bgColor rgb="FF008080"/>
      </patternFill>
    </fill>
    <fill>
      <patternFill patternType="solid">
        <fgColor rgb="FF76B041"/>
        <bgColor rgb="FF969696"/>
      </patternFill>
    </fill>
    <fill>
      <patternFill patternType="solid">
        <fgColor rgb="FF5B5F97"/>
        <bgColor rgb="FF5B6670"/>
      </patternFill>
    </fill>
    <fill>
      <patternFill patternType="solid">
        <fgColor rgb="FFF2A541"/>
        <bgColor rgb="FFFF8080"/>
      </patternFill>
    </fill>
    <fill>
      <patternFill patternType="solid">
        <fgColor rgb="FFE4572E"/>
        <bgColor rgb="FFC62828"/>
      </patternFill>
    </fill>
    <fill>
      <patternFill patternType="solid">
        <fgColor rgb="FFFFFFFF"/>
        <bgColor rgb="FFF9F9F9"/>
      </patternFill>
    </fill>
    <fill>
      <patternFill patternType="solid">
        <fgColor rgb="FFF4F6F8"/>
        <bgColor rgb="FFF9F9F9"/>
      </patternFill>
    </fill>
    <fill>
      <patternFill patternType="solid">
        <fgColor rgb="FFEEF2F4"/>
        <bgColor rgb="FFF4F6F8"/>
      </patternFill>
    </fill>
    <fill>
      <patternFill patternType="solid">
        <fgColor rgb="FFE8ECEF"/>
        <bgColor rgb="FFEEF2F4"/>
      </patternFill>
    </fill>
  </fills>
  <borders count="5">
    <border>
      <left/>
      <right/>
      <top/>
      <bottom/>
      <diagonal/>
    </border>
    <border>
      <left style="medium">
        <color rgb="FFF2A541"/>
      </left>
      <right style="medium">
        <color rgb="FFF2A541"/>
      </right>
      <top style="medium">
        <color rgb="FFF2A541"/>
      </top>
      <bottom style="medium">
        <color rgb="FFF2A541"/>
      </bottom>
      <diagonal/>
    </border>
    <border>
      <left style="thin">
        <color rgb="FFD7DCE1"/>
      </left>
      <right style="thin">
        <color rgb="FFD7DCE1"/>
      </right>
      <top style="thin">
        <color rgb="FFD7DCE1"/>
      </top>
      <bottom/>
      <diagonal/>
    </border>
    <border>
      <left style="thin">
        <color rgb="FFD7DCE1"/>
      </left>
      <right style="thin">
        <color rgb="FFD7DCE1"/>
      </right>
      <top/>
      <bottom/>
      <diagonal/>
    </border>
    <border>
      <left style="thin">
        <color rgb="FFD7DCE1"/>
      </left>
      <right style="thin">
        <color rgb="FFD7DCE1"/>
      </right>
      <top/>
      <bottom style="thin">
        <color rgb="FFD7DCE1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8" fillId="9" borderId="3" xfId="0" applyNumberFormat="1" applyFont="1" applyFill="1" applyBorder="1" applyAlignment="1">
      <alignment horizontal="center" vertical="center"/>
    </xf>
    <xf numFmtId="1" fontId="7" fillId="9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0" fillId="8" borderId="2" xfId="0" applyFill="1" applyBorder="1"/>
    <xf numFmtId="0" fontId="0" fillId="2" borderId="2" xfId="0" applyFill="1" applyBorder="1"/>
    <xf numFmtId="0" fontId="0" fillId="7" borderId="2" xfId="0" applyFill="1" applyBorder="1"/>
    <xf numFmtId="0" fontId="0" fillId="6" borderId="2" xfId="0" applyFill="1" applyBorder="1"/>
    <xf numFmtId="0" fontId="0" fillId="5" borderId="2" xfId="0" applyFill="1" applyBorder="1"/>
    <xf numFmtId="0" fontId="0" fillId="4" borderId="2" xfId="0" applyFill="1" applyBorder="1"/>
    <xf numFmtId="0" fontId="5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indent="2"/>
    </xf>
    <xf numFmtId="0" fontId="1" fillId="2" borderId="0" xfId="0" applyFont="1" applyFill="1" applyAlignment="1">
      <alignment horizontal="left" vertical="center" indent="2"/>
    </xf>
    <xf numFmtId="0" fontId="13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0" fontId="5" fillId="0" borderId="0" xfId="0" applyFont="1"/>
    <xf numFmtId="165" fontId="16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6" fillId="0" borderId="0" xfId="0" applyFont="1"/>
    <xf numFmtId="0" fontId="18" fillId="12" borderId="0" xfId="0" applyFont="1" applyFill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19" fillId="0" borderId="0" xfId="0" applyFont="1"/>
    <xf numFmtId="0" fontId="18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164" fontId="9" fillId="9" borderId="3" xfId="0" applyNumberFormat="1" applyFont="1" applyFill="1" applyBorder="1" applyAlignment="1">
      <alignment horizontal="center" vertical="center"/>
    </xf>
    <xf numFmtId="165" fontId="10" fillId="9" borderId="3" xfId="0" applyNumberFormat="1" applyFont="1" applyFill="1" applyBorder="1" applyAlignment="1">
      <alignment horizontal="center" vertical="center"/>
    </xf>
    <xf numFmtId="1" fontId="11" fillId="9" borderId="3" xfId="0" applyNumberFormat="1" applyFont="1" applyFill="1" applyBorder="1" applyAlignment="1">
      <alignment horizontal="center" vertical="center"/>
    </xf>
    <xf numFmtId="165" fontId="12" fillId="9" borderId="3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4" fillId="0" borderId="0" xfId="0" applyFont="1"/>
    <xf numFmtId="0" fontId="13" fillId="4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top" wrapText="1" indent="1"/>
    </xf>
    <xf numFmtId="0" fontId="5" fillId="0" borderId="0" xfId="0" applyFont="1" applyAlignment="1">
      <alignment horizontal="center"/>
    </xf>
    <xf numFmtId="0" fontId="15" fillId="11" borderId="0" xfId="0" applyFont="1" applyFill="1" applyAlignment="1">
      <alignment horizontal="left" vertical="top" wrapText="1" inden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/>
    <xf numFmtId="0" fontId="0" fillId="0" borderId="0" xfId="0" applyAlignment="1">
      <alignment vertical="top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sz val="9"/>
        <color rgb="FF2E7D32"/>
        <name val="Arial"/>
        <charset val="1"/>
      </font>
    </dxf>
    <dxf>
      <font>
        <b/>
        <sz val="9"/>
        <color rgb="FFC62828"/>
        <name val="Arial"/>
        <charset val="1"/>
      </font>
    </dxf>
    <dxf>
      <font>
        <b/>
        <sz val="9"/>
        <color rgb="FFC62828"/>
        <name val="Arial"/>
        <charset val="1"/>
      </font>
    </dxf>
    <dxf>
      <font>
        <b/>
        <sz val="9"/>
        <color rgb="FF2E7D32"/>
        <name val="Arial"/>
        <charset val="1"/>
      </font>
    </dxf>
    <dxf>
      <font>
        <b/>
        <sz val="9"/>
        <color rgb="FFC62828"/>
        <name val="Arial"/>
        <charset val="1"/>
      </font>
    </dxf>
    <dxf>
      <font>
        <b/>
        <sz val="9"/>
        <color rgb="FF2E7D32"/>
        <name val="Arial"/>
        <charset val="1"/>
      </font>
    </dxf>
    <dxf>
      <font>
        <b/>
        <sz val="9"/>
        <color rgb="FFC62828"/>
        <name val="Arial"/>
        <charset val="1"/>
      </font>
    </dxf>
    <dxf>
      <font>
        <b/>
        <sz val="9"/>
        <color rgb="FF2E7D32"/>
        <name val="Arial"/>
        <charset val="1"/>
      </font>
    </dxf>
    <dxf>
      <font>
        <b/>
        <sz val="9"/>
        <color rgb="FFC62828"/>
        <name val="Arial"/>
        <charset val="1"/>
      </font>
    </dxf>
    <dxf>
      <font>
        <b/>
        <sz val="9"/>
        <color rgb="FF2E7D32"/>
        <name val="Arial"/>
        <charset val="1"/>
      </font>
    </dxf>
    <dxf>
      <font>
        <b/>
        <sz val="9"/>
        <color rgb="FFC62828"/>
        <name val="Arial"/>
        <charset val="1"/>
      </font>
    </dxf>
    <dxf>
      <font>
        <b/>
        <sz val="9"/>
        <color rgb="FF2E7D32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6670"/>
      <rgbColor rgb="FF800080"/>
      <rgbColor rgb="FF0E7C7B"/>
      <rgbColor rgb="FFD9D9D9"/>
      <rgbColor rgb="FF878787"/>
      <rgbColor rgb="FF9999FF"/>
      <rgbColor rgb="FF993366"/>
      <rgbColor rgb="FFFFF2CC"/>
      <rgbColor rgb="FFEEF2F4"/>
      <rgbColor rgb="FF660066"/>
      <rgbColor rgb="FFFF8080"/>
      <rgbColor rgb="FF1565C0"/>
      <rgbColor rgb="FFD7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EF"/>
      <rgbColor rgb="FFF4F6F8"/>
      <rgbColor rgb="FFF9F9F9"/>
      <rgbColor rgb="FF99CCFF"/>
      <rgbColor rgb="FFFF99CC"/>
      <rgbColor rgb="FFCC99FF"/>
      <rgbColor rgb="FFFFCC99"/>
      <rgbColor rgb="FF4F81BD"/>
      <rgbColor rgb="FF33CCCC"/>
      <rgbColor rgb="FF76B041"/>
      <rgbColor rgb="FFFFCC00"/>
      <rgbColor rgb="FFF2A541"/>
      <rgbColor rgb="FFE4572E"/>
      <rgbColor rgb="FF5B5F97"/>
      <rgbColor rgb="FF969696"/>
      <rgbColor rgb="FF10263B"/>
      <rgbColor rgb="FF2E7D32"/>
      <rgbColor rgb="FF003300"/>
      <rgbColor rgb="FF333300"/>
      <rgbColor rgb="FFC62828"/>
      <rgbColor rgb="FF993366"/>
      <rgbColor rgb="FF333399"/>
      <rgbColor rgb="FF2B36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E7C7B"/>
      <color rgb="FF10263B"/>
      <color rgb="FF76B041"/>
      <color rgb="FFE4572E"/>
      <color rgb="FFF2A541"/>
      <color rgb="FF5B5F9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Evolución de Nómina y Dotación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Nomina_Mensual!$E$1</c:f>
              <c:strCache>
                <c:ptCount val="1"/>
                <c:pt idx="0">
                  <c:v>Costo Nómina ($)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Nomina_Mensual!$A$2:$A$7</c:f>
              <c:strCache>
                <c:ptCount val="6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</c:strCache>
            </c:strRef>
          </c:cat>
          <c:val>
            <c:numRef>
              <c:f>Nomina_Mensual!$E$2:$E$7</c:f>
              <c:numCache>
                <c:formatCode>\$#,##0</c:formatCode>
                <c:ptCount val="6"/>
                <c:pt idx="0">
                  <c:v>354390</c:v>
                </c:pt>
                <c:pt idx="1">
                  <c:v>366120</c:v>
                </c:pt>
                <c:pt idx="2">
                  <c:v>375830</c:v>
                </c:pt>
                <c:pt idx="3">
                  <c:v>386050</c:v>
                </c:pt>
                <c:pt idx="4">
                  <c:v>393260</c:v>
                </c:pt>
                <c:pt idx="5">
                  <c:v>404470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0-4095-8730-F9AA53233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1409032"/>
        <c:axId val="60064001"/>
      </c:barChart>
      <c:lineChart>
        <c:grouping val="standard"/>
        <c:varyColors val="0"/>
        <c:ser>
          <c:idx val="1"/>
          <c:order val="1"/>
          <c:tx>
            <c:strRef>
              <c:f>Nomina_Mensual!$D$1</c:f>
              <c:strCache>
                <c:ptCount val="1"/>
                <c:pt idx="0">
                  <c:v>Headcount</c:v>
                </c:pt>
              </c:strCache>
            </c:strRef>
          </c:tx>
          <c:spPr>
            <a:ln w="21960">
              <a:solidFill>
                <a:srgbClr val="E4572E"/>
              </a:solidFill>
              <a:round/>
            </a:ln>
          </c:spPr>
          <c:marker>
            <c:symbol val="circle"/>
            <c:size val="6"/>
            <c:spPr>
              <a:solidFill>
                <a:srgbClr val="E45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Nomina_Mensual!$A$2:$A$7</c:f>
              <c:strCache>
                <c:ptCount val="6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</c:strCache>
            </c:strRef>
          </c:cat>
          <c:val>
            <c:numRef>
              <c:f>Nomina_Mensual!$D$2:$D$7</c:f>
              <c:numCache>
                <c:formatCode>General</c:formatCode>
                <c:ptCount val="6"/>
                <c:pt idx="0">
                  <c:v>107</c:v>
                </c:pt>
                <c:pt idx="1">
                  <c:v>110</c:v>
                </c:pt>
                <c:pt idx="2">
                  <c:v>113</c:v>
                </c:pt>
                <c:pt idx="3">
                  <c:v>116</c:v>
                </c:pt>
                <c:pt idx="4">
                  <c:v>118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0-4095-8730-F9AA53233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609086"/>
        <c:axId val="2426170"/>
      </c:lineChart>
      <c:catAx>
        <c:axId val="5140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60064001"/>
        <c:crosses val="autoZero"/>
        <c:auto val="1"/>
        <c:lblAlgn val="ctr"/>
        <c:lblOffset val="100"/>
        <c:noMultiLvlLbl val="0"/>
      </c:catAx>
      <c:valAx>
        <c:axId val="60064001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Costo Nómina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51409032"/>
        <c:crosses val="autoZero"/>
        <c:crossBetween val="between"/>
      </c:valAx>
      <c:catAx>
        <c:axId val="766090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26170"/>
        <c:crosses val="autoZero"/>
        <c:auto val="1"/>
        <c:lblAlgn val="ctr"/>
        <c:lblOffset val="100"/>
        <c:noMultiLvlLbl val="0"/>
      </c:catAx>
      <c:valAx>
        <c:axId val="242617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7660908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Salario Promedio por Departamento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Calculos!$B$14</c:f>
              <c:strCache>
                <c:ptCount val="1"/>
                <c:pt idx="0">
                  <c:v>Salario Promedio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E7C7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F24-441E-9E00-08B13BB0BD3B}"/>
              </c:ext>
            </c:extLst>
          </c:dPt>
          <c:dPt>
            <c:idx val="1"/>
            <c:invertIfNegative val="0"/>
            <c:bubble3D val="0"/>
            <c:spPr>
              <a:solidFill>
                <a:srgbClr val="5B5F9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F24-441E-9E00-08B13BB0BD3B}"/>
              </c:ext>
            </c:extLst>
          </c:dPt>
          <c:dPt>
            <c:idx val="2"/>
            <c:invertIfNegative val="0"/>
            <c:bubble3D val="0"/>
            <c:spPr>
              <a:solidFill>
                <a:srgbClr val="F2A54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F24-441E-9E00-08B13BB0BD3B}"/>
              </c:ext>
            </c:extLst>
          </c:dPt>
          <c:dPt>
            <c:idx val="3"/>
            <c:invertIfNegative val="0"/>
            <c:bubble3D val="0"/>
            <c:spPr>
              <a:solidFill>
                <a:srgbClr val="E4572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F24-441E-9E00-08B13BB0BD3B}"/>
              </c:ext>
            </c:extLst>
          </c:dPt>
          <c:dPt>
            <c:idx val="4"/>
            <c:invertIfNegative val="0"/>
            <c:bubble3D val="0"/>
            <c:spPr>
              <a:solidFill>
                <a:srgbClr val="76B04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F24-441E-9E00-08B13BB0BD3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F24-441E-9E00-08B13BB0BD3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F24-441E-9E00-08B13BB0BD3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F24-441E-9E00-08B13BB0BD3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F24-441E-9E00-08B13BB0BD3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F24-441E-9E00-08B13BB0BD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Calculos!$A$15:$A$19</c:f>
              <c:strCache>
                <c:ptCount val="5"/>
                <c:pt idx="0">
                  <c:v>IT</c:v>
                </c:pt>
                <c:pt idx="1">
                  <c:v>RRHH</c:v>
                </c:pt>
                <c:pt idx="2">
                  <c:v>Finanzas</c:v>
                </c:pt>
                <c:pt idx="3">
                  <c:v>Ventas</c:v>
                </c:pt>
                <c:pt idx="4">
                  <c:v>Operaciones</c:v>
                </c:pt>
              </c:strCache>
            </c:strRef>
          </c:cat>
          <c:val>
            <c:numRef>
              <c:f>Calculos!$B$15:$B$19</c:f>
              <c:numCache>
                <c:formatCode>\$#,##0</c:formatCode>
                <c:ptCount val="5"/>
                <c:pt idx="0">
                  <c:v>3803.2432432432433</c:v>
                </c:pt>
                <c:pt idx="1">
                  <c:v>3193.7931034482758</c:v>
                </c:pt>
                <c:pt idx="2">
                  <c:v>3517.3333333333335</c:v>
                </c:pt>
                <c:pt idx="3">
                  <c:v>3043.1578947368421</c:v>
                </c:pt>
                <c:pt idx="4">
                  <c:v>3027.5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24-441E-9E00-08B13BB0B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6626911"/>
        <c:axId val="20939202"/>
      </c:barChart>
      <c:catAx>
        <c:axId val="1662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20939202"/>
        <c:crosses val="autoZero"/>
        <c:auto val="1"/>
        <c:lblAlgn val="ctr"/>
        <c:lblOffset val="100"/>
        <c:noMultiLvlLbl val="0"/>
      </c:catAx>
      <c:valAx>
        <c:axId val="2093920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Salario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166269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Dotación por Departamento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Calculos!$C$14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E7C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21A-4943-821D-7A51D6AF2F33}"/>
              </c:ext>
            </c:extLst>
          </c:dPt>
          <c:dPt>
            <c:idx val="1"/>
            <c:bubble3D val="0"/>
            <c:spPr>
              <a:solidFill>
                <a:srgbClr val="5B5F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21A-4943-821D-7A51D6AF2F33}"/>
              </c:ext>
            </c:extLst>
          </c:dPt>
          <c:dPt>
            <c:idx val="2"/>
            <c:bubble3D val="0"/>
            <c:spPr>
              <a:solidFill>
                <a:srgbClr val="F2A54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21A-4943-821D-7A51D6AF2F33}"/>
              </c:ext>
            </c:extLst>
          </c:dPt>
          <c:dPt>
            <c:idx val="3"/>
            <c:bubble3D val="0"/>
            <c:spPr>
              <a:solidFill>
                <a:srgbClr val="E45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21A-4943-821D-7A51D6AF2F33}"/>
              </c:ext>
            </c:extLst>
          </c:dPt>
          <c:dPt>
            <c:idx val="4"/>
            <c:bubble3D val="0"/>
            <c:spPr>
              <a:solidFill>
                <a:srgbClr val="76B04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21A-4943-821D-7A51D6AF2F3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21A-4943-821D-7A51D6AF2F3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21A-4943-821D-7A51D6AF2F3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21A-4943-821D-7A51D6AF2F3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21A-4943-821D-7A51D6AF2F3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A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21A-4943-821D-7A51D6AF2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Calculos!$A$15:$A$19</c:f>
              <c:strCache>
                <c:ptCount val="5"/>
                <c:pt idx="0">
                  <c:v>IT</c:v>
                </c:pt>
                <c:pt idx="1">
                  <c:v>RRHH</c:v>
                </c:pt>
                <c:pt idx="2">
                  <c:v>Finanzas</c:v>
                </c:pt>
                <c:pt idx="3">
                  <c:v>Ventas</c:v>
                </c:pt>
                <c:pt idx="4">
                  <c:v>Operaciones</c:v>
                </c:pt>
              </c:strCache>
            </c:strRef>
          </c:cat>
          <c:val>
            <c:numRef>
              <c:f>Calculos!$C$15:$C$19</c:f>
              <c:numCache>
                <c:formatCode>General</c:formatCode>
                <c:ptCount val="5"/>
                <c:pt idx="0">
                  <c:v>37</c:v>
                </c:pt>
                <c:pt idx="1">
                  <c:v>29</c:v>
                </c:pt>
                <c:pt idx="2">
                  <c:v>15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1A-4943-821D-7A51D6AF2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Distribución de Salarios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Calculos!$B$22</c:f>
              <c:strCache>
                <c:ptCount val="1"/>
                <c:pt idx="0">
                  <c:v>Empleados vigentes</c:v>
                </c:pt>
              </c:strCache>
            </c:strRef>
          </c:tx>
          <c:spPr>
            <a:solidFill>
              <a:srgbClr val="5B5F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Calculos!$A$23:$A$28</c:f>
              <c:strCache>
                <c:ptCount val="6"/>
                <c:pt idx="0">
                  <c:v>&lt; $2.5K</c:v>
                </c:pt>
                <c:pt idx="1">
                  <c:v>$2.5K - $3.0K</c:v>
                </c:pt>
                <c:pt idx="2">
                  <c:v>$3.0K - $3.5K</c:v>
                </c:pt>
                <c:pt idx="3">
                  <c:v>$3.5K - $4.0K</c:v>
                </c:pt>
                <c:pt idx="4">
                  <c:v>$4.0K - $4.5K</c:v>
                </c:pt>
                <c:pt idx="5">
                  <c:v>&gt; $4.5K</c:v>
                </c:pt>
              </c:strCache>
            </c:strRef>
          </c:cat>
          <c:val>
            <c:numRef>
              <c:f>Calculos!$B$23:$B$28</c:f>
              <c:numCache>
                <c:formatCode>General</c:formatCode>
                <c:ptCount val="6"/>
                <c:pt idx="0">
                  <c:v>7</c:v>
                </c:pt>
                <c:pt idx="1">
                  <c:v>25</c:v>
                </c:pt>
                <c:pt idx="2">
                  <c:v>40</c:v>
                </c:pt>
                <c:pt idx="3">
                  <c:v>30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3-427A-80BA-16730CAEE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21933590"/>
        <c:axId val="84382839"/>
      </c:barChart>
      <c:catAx>
        <c:axId val="219335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84382839"/>
        <c:crosses val="autoZero"/>
        <c:auto val="1"/>
        <c:lblAlgn val="ctr"/>
        <c:lblOffset val="100"/>
        <c:noMultiLvlLbl val="0"/>
      </c:catAx>
      <c:valAx>
        <c:axId val="84382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N° de Empleados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219335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Desempeño vs. Salario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Empleados vigentes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0E7C7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E4572E"/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xVal>
            <c:numRef>
              <c:f>Datos!$I$2:$I$121</c:f>
              <c:numCache>
                <c:formatCode>General</c:formatCode>
                <c:ptCount val="120"/>
                <c:pt idx="0">
                  <c:v>4.5</c:v>
                </c:pt>
                <c:pt idx="1">
                  <c:v>3.5</c:v>
                </c:pt>
                <c:pt idx="2">
                  <c:v>2.9</c:v>
                </c:pt>
                <c:pt idx="3">
                  <c:v>3.8</c:v>
                </c:pt>
                <c:pt idx="4">
                  <c:v>3</c:v>
                </c:pt>
                <c:pt idx="5">
                  <c:v>4</c:v>
                </c:pt>
                <c:pt idx="6">
                  <c:v>4.8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3.8</c:v>
                </c:pt>
                <c:pt idx="11">
                  <c:v>3.2</c:v>
                </c:pt>
                <c:pt idx="12">
                  <c:v>4.0999999999999996</c:v>
                </c:pt>
                <c:pt idx="13">
                  <c:v>2.5</c:v>
                </c:pt>
                <c:pt idx="14">
                  <c:v>4.5</c:v>
                </c:pt>
                <c:pt idx="15">
                  <c:v>5</c:v>
                </c:pt>
                <c:pt idx="16">
                  <c:v>4.7</c:v>
                </c:pt>
                <c:pt idx="17">
                  <c:v>3.9</c:v>
                </c:pt>
                <c:pt idx="18">
                  <c:v>2.7</c:v>
                </c:pt>
                <c:pt idx="19">
                  <c:v>4.0999999999999996</c:v>
                </c:pt>
                <c:pt idx="20">
                  <c:v>3.8</c:v>
                </c:pt>
                <c:pt idx="21">
                  <c:v>3.4</c:v>
                </c:pt>
                <c:pt idx="22">
                  <c:v>3.2</c:v>
                </c:pt>
                <c:pt idx="23">
                  <c:v>2.5</c:v>
                </c:pt>
                <c:pt idx="24">
                  <c:v>3.8</c:v>
                </c:pt>
                <c:pt idx="25">
                  <c:v>3.9</c:v>
                </c:pt>
                <c:pt idx="26">
                  <c:v>3.5</c:v>
                </c:pt>
                <c:pt idx="27">
                  <c:v>3.6</c:v>
                </c:pt>
                <c:pt idx="28">
                  <c:v>3.5</c:v>
                </c:pt>
                <c:pt idx="29">
                  <c:v>3.9</c:v>
                </c:pt>
                <c:pt idx="30">
                  <c:v>3.2</c:v>
                </c:pt>
                <c:pt idx="31">
                  <c:v>3.8</c:v>
                </c:pt>
                <c:pt idx="32">
                  <c:v>3.6</c:v>
                </c:pt>
                <c:pt idx="33">
                  <c:v>4.5999999999999996</c:v>
                </c:pt>
                <c:pt idx="34">
                  <c:v>3.7</c:v>
                </c:pt>
                <c:pt idx="35">
                  <c:v>3.4</c:v>
                </c:pt>
                <c:pt idx="36">
                  <c:v>3.9</c:v>
                </c:pt>
                <c:pt idx="37">
                  <c:v>2.5</c:v>
                </c:pt>
                <c:pt idx="38">
                  <c:v>4.2</c:v>
                </c:pt>
                <c:pt idx="39">
                  <c:v>3.6</c:v>
                </c:pt>
                <c:pt idx="40">
                  <c:v>2.6</c:v>
                </c:pt>
                <c:pt idx="41">
                  <c:v>3.6</c:v>
                </c:pt>
                <c:pt idx="42">
                  <c:v>3.9</c:v>
                </c:pt>
                <c:pt idx="43">
                  <c:v>3.7</c:v>
                </c:pt>
                <c:pt idx="44">
                  <c:v>3.5</c:v>
                </c:pt>
                <c:pt idx="45">
                  <c:v>3.9</c:v>
                </c:pt>
                <c:pt idx="46">
                  <c:v>3.3</c:v>
                </c:pt>
                <c:pt idx="47">
                  <c:v>3.4</c:v>
                </c:pt>
                <c:pt idx="48">
                  <c:v>4.4000000000000004</c:v>
                </c:pt>
                <c:pt idx="49">
                  <c:v>4.9000000000000004</c:v>
                </c:pt>
                <c:pt idx="50">
                  <c:v>3.5</c:v>
                </c:pt>
                <c:pt idx="51">
                  <c:v>4.4000000000000004</c:v>
                </c:pt>
                <c:pt idx="52">
                  <c:v>4</c:v>
                </c:pt>
                <c:pt idx="53">
                  <c:v>3.8</c:v>
                </c:pt>
                <c:pt idx="54">
                  <c:v>4.2</c:v>
                </c:pt>
                <c:pt idx="55">
                  <c:v>3.1</c:v>
                </c:pt>
                <c:pt idx="56">
                  <c:v>2.9</c:v>
                </c:pt>
                <c:pt idx="57">
                  <c:v>4.3</c:v>
                </c:pt>
                <c:pt idx="58">
                  <c:v>3.7</c:v>
                </c:pt>
                <c:pt idx="59">
                  <c:v>4.5</c:v>
                </c:pt>
                <c:pt idx="60">
                  <c:v>4.3</c:v>
                </c:pt>
                <c:pt idx="61">
                  <c:v>3.2</c:v>
                </c:pt>
                <c:pt idx="62">
                  <c:v>2.9</c:v>
                </c:pt>
                <c:pt idx="63">
                  <c:v>4.7</c:v>
                </c:pt>
                <c:pt idx="64">
                  <c:v>3.9</c:v>
                </c:pt>
                <c:pt idx="65">
                  <c:v>4.4000000000000004</c:v>
                </c:pt>
                <c:pt idx="66">
                  <c:v>2.9</c:v>
                </c:pt>
                <c:pt idx="67">
                  <c:v>3.2</c:v>
                </c:pt>
                <c:pt idx="68">
                  <c:v>4.3</c:v>
                </c:pt>
                <c:pt idx="69">
                  <c:v>3.5</c:v>
                </c:pt>
                <c:pt idx="70">
                  <c:v>4.8</c:v>
                </c:pt>
                <c:pt idx="71">
                  <c:v>2.9</c:v>
                </c:pt>
                <c:pt idx="72">
                  <c:v>3.3</c:v>
                </c:pt>
                <c:pt idx="73">
                  <c:v>4</c:v>
                </c:pt>
                <c:pt idx="74">
                  <c:v>4</c:v>
                </c:pt>
                <c:pt idx="75">
                  <c:v>3.8</c:v>
                </c:pt>
                <c:pt idx="76">
                  <c:v>3.4</c:v>
                </c:pt>
                <c:pt idx="77">
                  <c:v>4</c:v>
                </c:pt>
                <c:pt idx="78">
                  <c:v>2.1</c:v>
                </c:pt>
                <c:pt idx="79">
                  <c:v>3.1</c:v>
                </c:pt>
                <c:pt idx="80">
                  <c:v>3.6</c:v>
                </c:pt>
                <c:pt idx="81">
                  <c:v>3.2</c:v>
                </c:pt>
                <c:pt idx="82">
                  <c:v>3</c:v>
                </c:pt>
                <c:pt idx="83">
                  <c:v>3.4</c:v>
                </c:pt>
                <c:pt idx="84">
                  <c:v>3.6</c:v>
                </c:pt>
                <c:pt idx="85">
                  <c:v>3.1</c:v>
                </c:pt>
                <c:pt idx="86">
                  <c:v>3.1</c:v>
                </c:pt>
                <c:pt idx="87">
                  <c:v>4.8</c:v>
                </c:pt>
                <c:pt idx="88">
                  <c:v>4.2</c:v>
                </c:pt>
                <c:pt idx="89">
                  <c:v>3.5</c:v>
                </c:pt>
                <c:pt idx="90">
                  <c:v>3.7</c:v>
                </c:pt>
                <c:pt idx="91">
                  <c:v>3.9</c:v>
                </c:pt>
                <c:pt idx="92">
                  <c:v>2.9</c:v>
                </c:pt>
                <c:pt idx="93">
                  <c:v>3.7</c:v>
                </c:pt>
                <c:pt idx="94">
                  <c:v>3.7</c:v>
                </c:pt>
                <c:pt idx="95">
                  <c:v>3.9</c:v>
                </c:pt>
                <c:pt idx="96">
                  <c:v>2.6</c:v>
                </c:pt>
                <c:pt idx="97">
                  <c:v>4.4000000000000004</c:v>
                </c:pt>
                <c:pt idx="98">
                  <c:v>3.7</c:v>
                </c:pt>
                <c:pt idx="99">
                  <c:v>3.9</c:v>
                </c:pt>
                <c:pt idx="100">
                  <c:v>3.9</c:v>
                </c:pt>
                <c:pt idx="101">
                  <c:v>4.2</c:v>
                </c:pt>
                <c:pt idx="102">
                  <c:v>3.8</c:v>
                </c:pt>
                <c:pt idx="103">
                  <c:v>3.7</c:v>
                </c:pt>
                <c:pt idx="104">
                  <c:v>3.7</c:v>
                </c:pt>
                <c:pt idx="105">
                  <c:v>3</c:v>
                </c:pt>
                <c:pt idx="106">
                  <c:v>3.8</c:v>
                </c:pt>
                <c:pt idx="107">
                  <c:v>4.9000000000000004</c:v>
                </c:pt>
                <c:pt idx="108">
                  <c:v>3.7</c:v>
                </c:pt>
                <c:pt idx="109">
                  <c:v>3</c:v>
                </c:pt>
                <c:pt idx="110">
                  <c:v>3.4</c:v>
                </c:pt>
                <c:pt idx="111">
                  <c:v>3.5</c:v>
                </c:pt>
                <c:pt idx="112">
                  <c:v>4</c:v>
                </c:pt>
                <c:pt idx="113">
                  <c:v>4</c:v>
                </c:pt>
                <c:pt idx="114">
                  <c:v>3.8</c:v>
                </c:pt>
                <c:pt idx="115">
                  <c:v>3.3</c:v>
                </c:pt>
                <c:pt idx="116">
                  <c:v>3.9</c:v>
                </c:pt>
                <c:pt idx="117">
                  <c:v>4.3</c:v>
                </c:pt>
                <c:pt idx="118">
                  <c:v>3.7</c:v>
                </c:pt>
                <c:pt idx="119">
                  <c:v>3.3</c:v>
                </c:pt>
              </c:numCache>
            </c:numRef>
          </c:xVal>
          <c:yVal>
            <c:numRef>
              <c:f>Datos!$F$2:$F$121</c:f>
              <c:numCache>
                <c:formatCode>\$#,##0</c:formatCode>
                <c:ptCount val="120"/>
                <c:pt idx="0">
                  <c:v>3760</c:v>
                </c:pt>
                <c:pt idx="1">
                  <c:v>3010</c:v>
                </c:pt>
                <c:pt idx="2">
                  <c:v>3270</c:v>
                </c:pt>
                <c:pt idx="3">
                  <c:v>3550</c:v>
                </c:pt>
                <c:pt idx="4">
                  <c:v>3130</c:v>
                </c:pt>
                <c:pt idx="5">
                  <c:v>4100</c:v>
                </c:pt>
                <c:pt idx="6">
                  <c:v>4840</c:v>
                </c:pt>
                <c:pt idx="7">
                  <c:v>3760</c:v>
                </c:pt>
                <c:pt idx="8">
                  <c:v>2720</c:v>
                </c:pt>
                <c:pt idx="9">
                  <c:v>3390</c:v>
                </c:pt>
                <c:pt idx="10">
                  <c:v>3480</c:v>
                </c:pt>
                <c:pt idx="11">
                  <c:v>2990</c:v>
                </c:pt>
                <c:pt idx="12">
                  <c:v>3430</c:v>
                </c:pt>
                <c:pt idx="13">
                  <c:v>2110</c:v>
                </c:pt>
                <c:pt idx="14">
                  <c:v>3720</c:v>
                </c:pt>
                <c:pt idx="15">
                  <c:v>4760</c:v>
                </c:pt>
                <c:pt idx="16">
                  <c:v>4530</c:v>
                </c:pt>
                <c:pt idx="17">
                  <c:v>3120</c:v>
                </c:pt>
                <c:pt idx="18">
                  <c:v>2810</c:v>
                </c:pt>
                <c:pt idx="19">
                  <c:v>3430</c:v>
                </c:pt>
                <c:pt idx="20">
                  <c:v>3540</c:v>
                </c:pt>
                <c:pt idx="21">
                  <c:v>3180</c:v>
                </c:pt>
                <c:pt idx="22">
                  <c:v>2830</c:v>
                </c:pt>
                <c:pt idx="23">
                  <c:v>2120</c:v>
                </c:pt>
                <c:pt idx="24">
                  <c:v>3680</c:v>
                </c:pt>
                <c:pt idx="25">
                  <c:v>3560</c:v>
                </c:pt>
                <c:pt idx="26">
                  <c:v>2870</c:v>
                </c:pt>
                <c:pt idx="27">
                  <c:v>3470</c:v>
                </c:pt>
                <c:pt idx="28">
                  <c:v>3140</c:v>
                </c:pt>
                <c:pt idx="29">
                  <c:v>3880</c:v>
                </c:pt>
                <c:pt idx="30">
                  <c:v>2640</c:v>
                </c:pt>
                <c:pt idx="31">
                  <c:v>3510</c:v>
                </c:pt>
                <c:pt idx="32">
                  <c:v>3270</c:v>
                </c:pt>
                <c:pt idx="33">
                  <c:v>4390</c:v>
                </c:pt>
                <c:pt idx="34">
                  <c:v>3680</c:v>
                </c:pt>
                <c:pt idx="35">
                  <c:v>2860</c:v>
                </c:pt>
                <c:pt idx="36">
                  <c:v>3870</c:v>
                </c:pt>
                <c:pt idx="37">
                  <c:v>2560</c:v>
                </c:pt>
                <c:pt idx="38">
                  <c:v>4050</c:v>
                </c:pt>
                <c:pt idx="39">
                  <c:v>2970</c:v>
                </c:pt>
                <c:pt idx="40">
                  <c:v>2420</c:v>
                </c:pt>
                <c:pt idx="41">
                  <c:v>3590</c:v>
                </c:pt>
                <c:pt idx="42">
                  <c:v>3250</c:v>
                </c:pt>
                <c:pt idx="43">
                  <c:v>3360</c:v>
                </c:pt>
                <c:pt idx="44">
                  <c:v>3160</c:v>
                </c:pt>
                <c:pt idx="45">
                  <c:v>4130</c:v>
                </c:pt>
                <c:pt idx="46">
                  <c:v>3510</c:v>
                </c:pt>
                <c:pt idx="47">
                  <c:v>2920</c:v>
                </c:pt>
                <c:pt idx="48">
                  <c:v>4100</c:v>
                </c:pt>
                <c:pt idx="49">
                  <c:v>3880</c:v>
                </c:pt>
                <c:pt idx="50">
                  <c:v>3740</c:v>
                </c:pt>
                <c:pt idx="51">
                  <c:v>4380</c:v>
                </c:pt>
                <c:pt idx="52">
                  <c:v>3170</c:v>
                </c:pt>
                <c:pt idx="53">
                  <c:v>2990</c:v>
                </c:pt>
                <c:pt idx="54">
                  <c:v>4030</c:v>
                </c:pt>
                <c:pt idx="55">
                  <c:v>2690</c:v>
                </c:pt>
                <c:pt idx="56">
                  <c:v>2960</c:v>
                </c:pt>
                <c:pt idx="57">
                  <c:v>3610</c:v>
                </c:pt>
                <c:pt idx="58">
                  <c:v>3460</c:v>
                </c:pt>
                <c:pt idx="59">
                  <c:v>3820</c:v>
                </c:pt>
                <c:pt idx="60">
                  <c:v>4570</c:v>
                </c:pt>
                <c:pt idx="61">
                  <c:v>2530</c:v>
                </c:pt>
                <c:pt idx="62">
                  <c:v>2600</c:v>
                </c:pt>
                <c:pt idx="63">
                  <c:v>4330</c:v>
                </c:pt>
                <c:pt idx="64">
                  <c:v>3760</c:v>
                </c:pt>
                <c:pt idx="65">
                  <c:v>4640</c:v>
                </c:pt>
                <c:pt idx="66">
                  <c:v>2440</c:v>
                </c:pt>
                <c:pt idx="67">
                  <c:v>3110</c:v>
                </c:pt>
                <c:pt idx="68">
                  <c:v>3380</c:v>
                </c:pt>
                <c:pt idx="69">
                  <c:v>2940</c:v>
                </c:pt>
                <c:pt idx="70">
                  <c:v>4560</c:v>
                </c:pt>
                <c:pt idx="71">
                  <c:v>2460</c:v>
                </c:pt>
                <c:pt idx="72">
                  <c:v>3550</c:v>
                </c:pt>
                <c:pt idx="73">
                  <c:v>3090</c:v>
                </c:pt>
                <c:pt idx="74">
                  <c:v>3250</c:v>
                </c:pt>
                <c:pt idx="75">
                  <c:v>3560</c:v>
                </c:pt>
                <c:pt idx="76">
                  <c:v>2830</c:v>
                </c:pt>
                <c:pt idx="77">
                  <c:v>3940</c:v>
                </c:pt>
                <c:pt idx="78">
                  <c:v>2120</c:v>
                </c:pt>
                <c:pt idx="79">
                  <c:v>2650</c:v>
                </c:pt>
                <c:pt idx="80">
                  <c:v>2920</c:v>
                </c:pt>
                <c:pt idx="81">
                  <c:v>3110</c:v>
                </c:pt>
                <c:pt idx="82">
                  <c:v>2600</c:v>
                </c:pt>
                <c:pt idx="83">
                  <c:v>3800</c:v>
                </c:pt>
                <c:pt idx="84">
                  <c:v>3180</c:v>
                </c:pt>
                <c:pt idx="85">
                  <c:v>3080</c:v>
                </c:pt>
                <c:pt idx="86">
                  <c:v>3020</c:v>
                </c:pt>
                <c:pt idx="87">
                  <c:v>4130</c:v>
                </c:pt>
                <c:pt idx="88">
                  <c:v>3720</c:v>
                </c:pt>
                <c:pt idx="89">
                  <c:v>2860</c:v>
                </c:pt>
                <c:pt idx="90">
                  <c:v>3500</c:v>
                </c:pt>
                <c:pt idx="91">
                  <c:v>3150</c:v>
                </c:pt>
                <c:pt idx="92">
                  <c:v>2510</c:v>
                </c:pt>
                <c:pt idx="93">
                  <c:v>3450</c:v>
                </c:pt>
                <c:pt idx="94">
                  <c:v>3480</c:v>
                </c:pt>
                <c:pt idx="95">
                  <c:v>3050</c:v>
                </c:pt>
                <c:pt idx="96">
                  <c:v>2480</c:v>
                </c:pt>
                <c:pt idx="97">
                  <c:v>4150</c:v>
                </c:pt>
                <c:pt idx="98">
                  <c:v>3270</c:v>
                </c:pt>
                <c:pt idx="99">
                  <c:v>3450</c:v>
                </c:pt>
                <c:pt idx="100">
                  <c:v>3030</c:v>
                </c:pt>
                <c:pt idx="101">
                  <c:v>3320</c:v>
                </c:pt>
                <c:pt idx="102">
                  <c:v>3100</c:v>
                </c:pt>
                <c:pt idx="103">
                  <c:v>3020</c:v>
                </c:pt>
                <c:pt idx="104">
                  <c:v>3510</c:v>
                </c:pt>
                <c:pt idx="105">
                  <c:v>2630</c:v>
                </c:pt>
                <c:pt idx="106">
                  <c:v>3350</c:v>
                </c:pt>
                <c:pt idx="107">
                  <c:v>4430</c:v>
                </c:pt>
                <c:pt idx="108">
                  <c:v>3480</c:v>
                </c:pt>
                <c:pt idx="109">
                  <c:v>2720</c:v>
                </c:pt>
                <c:pt idx="110">
                  <c:v>3460</c:v>
                </c:pt>
                <c:pt idx="111">
                  <c:v>2910</c:v>
                </c:pt>
                <c:pt idx="112">
                  <c:v>4260</c:v>
                </c:pt>
                <c:pt idx="113">
                  <c:v>3570</c:v>
                </c:pt>
                <c:pt idx="114">
                  <c:v>3880</c:v>
                </c:pt>
                <c:pt idx="115">
                  <c:v>3420</c:v>
                </c:pt>
                <c:pt idx="116">
                  <c:v>3290</c:v>
                </c:pt>
                <c:pt idx="117">
                  <c:v>3710</c:v>
                </c:pt>
                <c:pt idx="118">
                  <c:v>3500</c:v>
                </c:pt>
                <c:pt idx="119">
                  <c:v>3510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B9-4031-B070-4945594C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13725"/>
        <c:axId val="38476396"/>
      </c:scatterChart>
      <c:valAx>
        <c:axId val="64213725"/>
        <c:scaling>
          <c:orientation val="minMax"/>
          <c:max val="5.5"/>
          <c:min val="1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Rating de Desempeño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38476396"/>
        <c:crosses val="autoZero"/>
        <c:crossBetween val="midCat"/>
        <c:majorUnit val="0.5"/>
      </c:valAx>
      <c:valAx>
        <c:axId val="38476396"/>
        <c:scaling>
          <c:orientation val="minMax"/>
          <c:max val="6000"/>
          <c:min val="1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Salario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6421372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[Dashboard_RRHH_Nomina_Segmentaciones.xlsx]Tablas_Pivot!TablaDinámica2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1">
                <a:solidFill>
                  <a:srgbClr val="10263B"/>
                </a:solidFill>
              </a:rPr>
              <a:t>Salario Promedio por Departamento</a:t>
            </a:r>
          </a:p>
        </c:rich>
      </c:tx>
      <c:layout>
        <c:manualLayout>
          <c:xMode val="edge"/>
          <c:yMode val="edge"/>
          <c:x val="0.15385375556868952"/>
          <c:y val="6.7750677506775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E7C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Tablas_Pivot!$B$8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E7C7B"/>
            </a:solidFill>
            <a:ln>
              <a:noFill/>
            </a:ln>
            <a:effectLst/>
          </c:spPr>
          <c:invertIfNegative val="0"/>
          <c:cat>
            <c:strRef>
              <c:f>Tablas_Pivot!$A$9:$A$14</c:f>
              <c:strCache>
                <c:ptCount val="5"/>
                <c:pt idx="0">
                  <c:v>Finanzas</c:v>
                </c:pt>
                <c:pt idx="1">
                  <c:v>IT</c:v>
                </c:pt>
                <c:pt idx="2">
                  <c:v>Operaciones</c:v>
                </c:pt>
                <c:pt idx="3">
                  <c:v>RRHH</c:v>
                </c:pt>
                <c:pt idx="4">
                  <c:v>Ventas</c:v>
                </c:pt>
              </c:strCache>
            </c:strRef>
          </c:cat>
          <c:val>
            <c:numRef>
              <c:f>Tablas_Pivot!$B$9:$B$14</c:f>
              <c:numCache>
                <c:formatCode>\$#,##0</c:formatCode>
                <c:ptCount val="5"/>
                <c:pt idx="0">
                  <c:v>3517.3333333333335</c:v>
                </c:pt>
                <c:pt idx="1">
                  <c:v>3803.2432432432433</c:v>
                </c:pt>
                <c:pt idx="2">
                  <c:v>3027.5</c:v>
                </c:pt>
                <c:pt idx="3">
                  <c:v>3193.7931034482758</c:v>
                </c:pt>
                <c:pt idx="4">
                  <c:v>3043.1578947368421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0-4503-B534-4C6940208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754354272"/>
        <c:axId val="703324544"/>
      </c:barChart>
      <c:catAx>
        <c:axId val="7543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3324544"/>
        <c:crosses val="autoZero"/>
        <c:auto val="1"/>
        <c:lblAlgn val="ctr"/>
        <c:lblOffset val="100"/>
        <c:noMultiLvlLbl val="0"/>
      </c:catAx>
      <c:valAx>
        <c:axId val="7033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43542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[Dashboard_RRHH_Nomina_Segmentaciones.xlsx]Tablas_Pivot!TablaDinámica3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10263B"/>
                </a:solidFill>
                <a:latin typeface="+mn-lt"/>
                <a:ea typeface="+mn-ea"/>
                <a:cs typeface="+mn-cs"/>
              </a:defRPr>
            </a:pPr>
            <a:r>
              <a:rPr lang="es-AR" sz="1200" b="1" i="0" u="none" strike="noStrike" baseline="0">
                <a:solidFill>
                  <a:srgbClr val="10263B"/>
                </a:solidFill>
              </a:rPr>
              <a:t>Dotación por departamento</a:t>
            </a:r>
            <a:endParaRPr lang="es-AR" sz="1200" b="1">
              <a:solidFill>
                <a:srgbClr val="10263B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10263B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E7C7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14345991561181"/>
              <c:y val="-1.3550135501355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B5F9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611814345991562"/>
              <c:y val="2.0325203252032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2A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1097046413502071E-2"/>
              <c:y val="8.13008130081299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4572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970464135021098"/>
              <c:y val="-1.2420814056604871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6B0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413502109704644E-2"/>
              <c:y val="-0.101626016260162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Tablas_Pivot!$E$8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E7C7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EC-458B-9B9B-4D0CA8A0FC65}"/>
              </c:ext>
            </c:extLst>
          </c:dPt>
          <c:dPt>
            <c:idx val="1"/>
            <c:bubble3D val="0"/>
            <c:spPr>
              <a:solidFill>
                <a:srgbClr val="5B5F9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EC-458B-9B9B-4D0CA8A0FC65}"/>
              </c:ext>
            </c:extLst>
          </c:dPt>
          <c:dPt>
            <c:idx val="2"/>
            <c:bubble3D val="0"/>
            <c:spPr>
              <a:solidFill>
                <a:srgbClr val="F2A5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EC-458B-9B9B-4D0CA8A0FC65}"/>
              </c:ext>
            </c:extLst>
          </c:dPt>
          <c:dPt>
            <c:idx val="3"/>
            <c:bubble3D val="0"/>
            <c:spPr>
              <a:solidFill>
                <a:srgbClr val="E45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EC-458B-9B9B-4D0CA8A0FC65}"/>
              </c:ext>
            </c:extLst>
          </c:dPt>
          <c:dPt>
            <c:idx val="4"/>
            <c:bubble3D val="0"/>
            <c:spPr>
              <a:solidFill>
                <a:srgbClr val="76B0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EC-458B-9B9B-4D0CA8A0FC65}"/>
              </c:ext>
            </c:extLst>
          </c:dPt>
          <c:dLbls>
            <c:dLbl>
              <c:idx val="0"/>
              <c:layout>
                <c:manualLayout>
                  <c:x val="0.11814345991561181"/>
                  <c:y val="-1.355013550135501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EC-458B-9B9B-4D0CA8A0FC65}"/>
                </c:ext>
              </c:extLst>
            </c:dLbl>
            <c:dLbl>
              <c:idx val="1"/>
              <c:layout>
                <c:manualLayout>
                  <c:x val="0.15611814345991562"/>
                  <c:y val="2.03252032520325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C-458B-9B9B-4D0CA8A0FC65}"/>
                </c:ext>
              </c:extLst>
            </c:dLbl>
            <c:dLbl>
              <c:idx val="2"/>
              <c:layout>
                <c:manualLayout>
                  <c:x val="2.1097046413502071E-2"/>
                  <c:y val="8.130081300812995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EC-458B-9B9B-4D0CA8A0FC65}"/>
                </c:ext>
              </c:extLst>
            </c:dLbl>
            <c:dLbl>
              <c:idx val="3"/>
              <c:layout>
                <c:manualLayout>
                  <c:x val="-0.10970464135021098"/>
                  <c:y val="-1.2420814056604871E-1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EC-458B-9B9B-4D0CA8A0FC65}"/>
                </c:ext>
              </c:extLst>
            </c:dLbl>
            <c:dLbl>
              <c:idx val="4"/>
              <c:layout>
                <c:manualLayout>
                  <c:x val="-4.6413502109704644E-2"/>
                  <c:y val="-0.1016260162601626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EC-458B-9B9B-4D0CA8A0FC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Tablas_Pivot!$D$9:$D$14</c:f>
              <c:strCache>
                <c:ptCount val="5"/>
                <c:pt idx="0">
                  <c:v>Finanzas</c:v>
                </c:pt>
                <c:pt idx="1">
                  <c:v>IT</c:v>
                </c:pt>
                <c:pt idx="2">
                  <c:v>Operaciones</c:v>
                </c:pt>
                <c:pt idx="3">
                  <c:v>RRHH</c:v>
                </c:pt>
                <c:pt idx="4">
                  <c:v>Ventas</c:v>
                </c:pt>
              </c:strCache>
            </c:strRef>
          </c:cat>
          <c:val>
            <c:numRef>
              <c:f>Tablas_Pivot!$E$9:$E$14</c:f>
              <c:numCache>
                <c:formatCode>General</c:formatCode>
                <c:ptCount val="5"/>
                <c:pt idx="0">
                  <c:v>15</c:v>
                </c:pt>
                <c:pt idx="1">
                  <c:v>37</c:v>
                </c:pt>
                <c:pt idx="2">
                  <c:v>20</c:v>
                </c:pt>
                <c:pt idx="3">
                  <c:v>29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EC-458B-9B9B-4D0CA8A0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[Dashboard_RRHH_Nomina_Segmentaciones.xlsx]Tablas_Pivot!TablaDinámica4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263B"/>
                </a:solidFill>
                <a:latin typeface="+mn-lt"/>
                <a:ea typeface="+mn-ea"/>
                <a:cs typeface="+mn-cs"/>
              </a:defRPr>
            </a:pPr>
            <a:r>
              <a:rPr lang="es-AR" sz="1200" b="1" i="0" u="none" strike="noStrike" baseline="0">
                <a:solidFill>
                  <a:srgbClr val="10263B"/>
                </a:solidFill>
              </a:rPr>
              <a:t>Distribución salarial</a:t>
            </a:r>
            <a:endParaRPr lang="es-AR" sz="1200" b="1">
              <a:solidFill>
                <a:srgbClr val="10263B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263B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E7C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Tablas_Pivot!$H$8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E7C7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Tablas_Pivot!$G$9:$G$15</c:f>
              <c:strCache>
                <c:ptCount val="6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4500-5000</c:v>
                </c:pt>
              </c:strCache>
            </c:strRef>
          </c:cat>
          <c:val>
            <c:numRef>
              <c:f>Tablas_Pivot!$H$9:$H$15</c:f>
              <c:numCache>
                <c:formatCode>General</c:formatCode>
                <c:ptCount val="6"/>
                <c:pt idx="0">
                  <c:v>7</c:v>
                </c:pt>
                <c:pt idx="1">
                  <c:v>25</c:v>
                </c:pt>
                <c:pt idx="2">
                  <c:v>40</c:v>
                </c:pt>
                <c:pt idx="3">
                  <c:v>30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9-4859-9AA5-2A759C2003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754381184"/>
        <c:axId val="844169184"/>
      </c:barChart>
      <c:catAx>
        <c:axId val="7543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44169184"/>
        <c:crosses val="autoZero"/>
        <c:auto val="1"/>
        <c:lblAlgn val="ctr"/>
        <c:lblOffset val="100"/>
        <c:noMultiLvlLbl val="0"/>
      </c:catAx>
      <c:valAx>
        <c:axId val="8441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43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8</xdr:col>
      <xdr:colOff>530280</xdr:colOff>
      <xdr:row>32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530280</xdr:colOff>
      <xdr:row>32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15</xdr:row>
      <xdr:rowOff>0</xdr:rowOff>
    </xdr:from>
    <xdr:to>
      <xdr:col>24</xdr:col>
      <xdr:colOff>62280</xdr:colOff>
      <xdr:row>32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8</xdr:col>
      <xdr:colOff>530280</xdr:colOff>
      <xdr:row>53</xdr:row>
      <xdr:rowOff>105840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37</xdr:row>
      <xdr:rowOff>0</xdr:rowOff>
    </xdr:from>
    <xdr:to>
      <xdr:col>16</xdr:col>
      <xdr:colOff>530280</xdr:colOff>
      <xdr:row>53</xdr:row>
      <xdr:rowOff>105840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6</xdr:row>
      <xdr:rowOff>30480</xdr:rowOff>
    </xdr:from>
    <xdr:to>
      <xdr:col>5</xdr:col>
      <xdr:colOff>822960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4C74BD-9DC3-466B-9BBF-E3B6C1836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876300</xdr:colOff>
      <xdr:row>6</xdr:row>
      <xdr:rowOff>38100</xdr:rowOff>
    </xdr:from>
    <xdr:to>
      <xdr:col>9</xdr:col>
      <xdr:colOff>190500</xdr:colOff>
      <xdr:row>16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E76EE1-4B5F-457E-9728-02DE4E403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205740</xdr:colOff>
      <xdr:row>6</xdr:row>
      <xdr:rowOff>38100</xdr:rowOff>
    </xdr:from>
    <xdr:to>
      <xdr:col>12</xdr:col>
      <xdr:colOff>365760</xdr:colOff>
      <xdr:row>16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3174C4-99D9-4FC6-88CD-7C651B91E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</xdr:row>
      <xdr:rowOff>171450</xdr:rowOff>
    </xdr:from>
    <xdr:to>
      <xdr:col>2</xdr:col>
      <xdr:colOff>215040</xdr:colOff>
      <xdr:row>9</xdr:row>
      <xdr:rowOff>166485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artamento">
              <a:extLst>
                <a:ext uri="{FF2B5EF4-FFF2-40B4-BE49-F238E27FC236}">
                  <a16:creationId xmlns:a16="http://schemas.microsoft.com/office/drawing/2014/main" id="{9AF82833-1495-4259-9B6A-90391F8DC2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95039"/>
              <a:ext cx="1801670" cy="1644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80009</xdr:rowOff>
    </xdr:from>
    <xdr:to>
      <xdr:col>2</xdr:col>
      <xdr:colOff>215040</xdr:colOff>
      <xdr:row>31</xdr:row>
      <xdr:rowOff>39689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uesto">
              <a:extLst>
                <a:ext uri="{FF2B5EF4-FFF2-40B4-BE49-F238E27FC236}">
                  <a16:creationId xmlns:a16="http://schemas.microsoft.com/office/drawing/2014/main" id="{4B6C4749-58C5-4E39-A5E3-8CE6AA1605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es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55982"/>
              <a:ext cx="1801670" cy="2590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95250</xdr:rowOff>
    </xdr:from>
    <xdr:to>
      <xdr:col>2</xdr:col>
      <xdr:colOff>215040</xdr:colOff>
      <xdr:row>17</xdr:row>
      <xdr:rowOff>75090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stado">
              <a:extLst>
                <a:ext uri="{FF2B5EF4-FFF2-40B4-BE49-F238E27FC236}">
                  <a16:creationId xmlns:a16="http://schemas.microsoft.com/office/drawing/2014/main" id="{909CE208-1180-4177-B29B-A8FCB20388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55990"/>
              <a:ext cx="1801670" cy="1295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31</xdr:row>
      <xdr:rowOff>49530</xdr:rowOff>
    </xdr:from>
    <xdr:to>
      <xdr:col>2</xdr:col>
      <xdr:colOff>215040</xdr:colOff>
      <xdr:row>38</xdr:row>
      <xdr:rowOff>29370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8" name="Fecha Ingreso">
              <a:extLst>
                <a:ext uri="{FF2B5EF4-FFF2-40B4-BE49-F238E27FC236}">
                  <a16:creationId xmlns:a16="http://schemas.microsoft.com/office/drawing/2014/main" id="{F8338BE6-9190-46B5-8CF5-74436CDB87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Ingres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55968"/>
              <a:ext cx="1801670" cy="1295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dloz" refreshedDate="46317.709196643518" createdVersion="8" refreshedVersion="8" minRefreshableVersion="3" recordCount="132" xr:uid="{5C750C3C-2B89-42F5-9D2A-F9C4C9F7E1F8}">
  <cacheSource type="worksheet">
    <worksheetSource name="TablaEmpleados"/>
  </cacheSource>
  <cacheFields count="10">
    <cacheField name="ID Empleado" numFmtId="0">
      <sharedItems count="132">
        <s v="E001"/>
        <s v="E003"/>
        <s v="E004"/>
        <s v="E006"/>
        <s v="E007"/>
        <s v="E008"/>
        <s v="E009"/>
        <s v="E011"/>
        <s v="E012"/>
        <s v="E013"/>
        <s v="E014"/>
        <s v="E015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2"/>
        <s v="E033"/>
        <s v="E034"/>
        <s v="E035"/>
        <s v="E036"/>
        <s v="E037"/>
        <s v="E038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5"/>
        <s v="E057"/>
        <s v="E058"/>
        <s v="E059"/>
        <s v="E060"/>
        <s v="E061"/>
        <s v="E062"/>
        <s v="E063"/>
        <s v="E064"/>
        <s v="E065"/>
        <s v="E066"/>
        <s v="E067"/>
        <s v="E068"/>
        <s v="E069"/>
        <s v="E070"/>
        <s v="E071"/>
        <s v="E072"/>
        <s v="E073"/>
        <s v="E074"/>
        <s v="E075"/>
        <s v="E076"/>
        <s v="E077"/>
        <s v="E079"/>
        <s v="E080"/>
        <s v="E081"/>
        <s v="E082"/>
        <s v="E083"/>
        <s v="E084"/>
        <s v="E085"/>
        <s v="E086"/>
        <s v="E087"/>
        <s v="E088"/>
        <s v="E089"/>
        <s v="E091"/>
        <s v="E092"/>
        <s v="E093"/>
        <s v="E094"/>
        <s v="E095"/>
        <s v="E096"/>
        <s v="E097"/>
        <s v="E098"/>
        <s v="E100"/>
        <s v="E101"/>
        <s v="E103"/>
        <s v="E104"/>
        <s v="E105"/>
        <s v="E106"/>
        <s v="E107"/>
        <s v="E108"/>
        <s v="E109"/>
        <s v="E110"/>
        <s v="E111"/>
        <s v="E112"/>
        <s v="E113"/>
        <s v="E114"/>
        <s v="E115"/>
        <s v="E116"/>
        <s v="E117"/>
        <s v="E118"/>
        <s v="E119"/>
        <s v="E120"/>
        <s v="E121"/>
        <s v="E122"/>
        <s v="E123"/>
        <s v="E124"/>
        <s v="E125"/>
        <s v="E126"/>
        <s v="E127"/>
        <s v="E128"/>
        <s v="E129"/>
        <s v="E130"/>
        <s v="E131"/>
        <s v="E132"/>
        <s v="E002"/>
        <s v="E005"/>
        <s v="E010"/>
        <s v="E016"/>
        <s v="E031"/>
        <s v="E039"/>
        <s v="E054"/>
        <s v="E056"/>
        <s v="E078"/>
        <s v="E090"/>
        <s v="E099"/>
        <s v="E102"/>
      </sharedItems>
    </cacheField>
    <cacheField name="Nombre" numFmtId="0">
      <sharedItems/>
    </cacheField>
    <cacheField name="Departamento" numFmtId="0">
      <sharedItems count="5">
        <s v="Ventas"/>
        <s v="Operaciones"/>
        <s v="IT"/>
        <s v="RRHH"/>
        <s v="Finanzas"/>
      </sharedItems>
    </cacheField>
    <cacheField name="Puesto" numFmtId="0">
      <sharedItems count="19">
        <s v="Ejecutivo de Ventas"/>
        <s v="Especialista en Soporte"/>
        <s v="Arquitecto de Software"/>
        <s v="Account Manager"/>
        <s v="QA Analyst"/>
        <s v="Desarrollador Sr"/>
        <s v="Desarrollador Jr"/>
        <s v="Generalista de RRHH"/>
        <s v="Coordinador Logístico"/>
        <s v="Representante Comercial"/>
        <s v="Reclutador"/>
        <s v="DevOps Engineer"/>
        <s v="Especialista en Nómina"/>
        <s v="Controller"/>
        <s v="Tesorero"/>
        <s v="Analista de Operaciones"/>
        <s v="Analista Financiero"/>
        <s v="Analista de RRHH"/>
        <s v="Contador"/>
      </sharedItems>
    </cacheField>
    <cacheField name="Nivel" numFmtId="0">
      <sharedItems/>
    </cacheField>
    <cacheField name="Salario Mensual" numFmtId="164">
      <sharedItems containsSemiMixedTypes="0" containsString="0" containsNumber="1" containsInteger="1" minValue="2100" maxValue="4840" count="97">
        <n v="3760"/>
        <n v="3010"/>
        <n v="3270"/>
        <n v="3550"/>
        <n v="3130"/>
        <n v="4100"/>
        <n v="4840"/>
        <n v="2720"/>
        <n v="3390"/>
        <n v="3480"/>
        <n v="2990"/>
        <n v="3430"/>
        <n v="2110"/>
        <n v="3720"/>
        <n v="4760"/>
        <n v="4530"/>
        <n v="3120"/>
        <n v="2810"/>
        <n v="3540"/>
        <n v="3180"/>
        <n v="2830"/>
        <n v="2120"/>
        <n v="3680"/>
        <n v="3560"/>
        <n v="2870"/>
        <n v="3470"/>
        <n v="3140"/>
        <n v="3880"/>
        <n v="2640"/>
        <n v="3510"/>
        <n v="4390"/>
        <n v="2860"/>
        <n v="3870"/>
        <n v="2560"/>
        <n v="4050"/>
        <n v="2970"/>
        <n v="2420"/>
        <n v="3590"/>
        <n v="3250"/>
        <n v="3360"/>
        <n v="3160"/>
        <n v="4130"/>
        <n v="2920"/>
        <n v="3740"/>
        <n v="4380"/>
        <n v="3170"/>
        <n v="4030"/>
        <n v="2690"/>
        <n v="2960"/>
        <n v="3610"/>
        <n v="3460"/>
        <n v="3820"/>
        <n v="4570"/>
        <n v="2530"/>
        <n v="2600"/>
        <n v="4330"/>
        <n v="4640"/>
        <n v="2440"/>
        <n v="3110"/>
        <n v="3380"/>
        <n v="2940"/>
        <n v="4560"/>
        <n v="2460"/>
        <n v="3090"/>
        <n v="3940"/>
        <n v="2650"/>
        <n v="3800"/>
        <n v="3080"/>
        <n v="3020"/>
        <n v="3500"/>
        <n v="3150"/>
        <n v="2510"/>
        <n v="3450"/>
        <n v="3050"/>
        <n v="2480"/>
        <n v="4150"/>
        <n v="3030"/>
        <n v="3320"/>
        <n v="3100"/>
        <n v="2630"/>
        <n v="3350"/>
        <n v="4430"/>
        <n v="2910"/>
        <n v="4260"/>
        <n v="3570"/>
        <n v="3420"/>
        <n v="3290"/>
        <n v="3710"/>
        <n v="3900"/>
        <n v="2570"/>
        <n v="2450"/>
        <n v="3600"/>
        <n v="2250"/>
        <n v="3370"/>
        <n v="3240"/>
        <n v="2100"/>
        <n v="2200"/>
      </sharedItems>
      <fieldGroup base="5">
        <rangePr autoStart="0" autoEnd="0" startNum="2000" endNum="5000" groupInterval="500"/>
        <groupItems count="8">
          <s v="&lt;2000"/>
          <s v="2000-2499"/>
          <s v="2500-2999"/>
          <s v="3000-3499"/>
          <s v="3500-3999"/>
          <s v="4000-4499"/>
          <s v="4500-5000"/>
          <s v="&gt;5000"/>
        </groupItems>
      </fieldGroup>
    </cacheField>
    <cacheField name="Fecha Ingreso" numFmtId="168">
      <sharedItems containsSemiMixedTypes="0" containsNonDate="0" containsDate="1" containsString="0" minDate="2022-02-17T00:00:00" maxDate="2026-10-08T00:00:00" count="125">
        <d v="2022-02-17T00:00:00"/>
        <d v="2022-05-06T00:00:00"/>
        <d v="2022-07-26T00:00:00"/>
        <d v="2022-11-21T00:00:00"/>
        <d v="2022-12-12T00:00:00"/>
        <d v="2022-12-15T00:00:00"/>
        <d v="2023-02-11T00:00:00"/>
        <d v="2023-02-14T00:00:00"/>
        <d v="2023-02-17T00:00:00"/>
        <d v="2023-02-27T00:00:00"/>
        <d v="2023-03-09T00:00:00"/>
        <d v="2023-04-16T00:00:00"/>
        <d v="2023-04-17T00:00:00"/>
        <d v="2023-05-07T00:00:00"/>
        <d v="2023-05-12T00:00:00"/>
        <d v="2023-05-19T00:00:00"/>
        <d v="2023-06-02T00:00:00"/>
        <d v="2023-06-15T00:00:00"/>
        <d v="2023-06-27T00:00:00"/>
        <d v="2023-07-03T00:00:00"/>
        <d v="2023-07-20T00:00:00"/>
        <d v="2023-07-25T00:00:00"/>
        <d v="2023-08-08T00:00:00"/>
        <d v="2023-08-11T00:00:00"/>
        <d v="2023-09-11T00:00:00"/>
        <d v="2023-10-20T00:00:00"/>
        <d v="2023-11-10T00:00:00"/>
        <d v="2023-11-15T00:00:00"/>
        <d v="2023-11-27T00:00:00"/>
        <d v="2023-12-02T00:00:00"/>
        <d v="2023-12-14T00:00:00"/>
        <d v="2023-12-19T00:00:00"/>
        <d v="2024-01-01T00:00:00"/>
        <d v="2024-01-24T00:00:00"/>
        <d v="2024-01-28T00:00:00"/>
        <d v="2024-02-14T00:00:00"/>
        <d v="2024-03-19T00:00:00"/>
        <d v="2024-04-20T00:00:00"/>
        <d v="2024-05-01T00:00:00"/>
        <d v="2024-05-07T00:00:00"/>
        <d v="2024-05-08T00:00:00"/>
        <d v="2024-05-12T00:00:00"/>
        <d v="2024-05-15T00:00:00"/>
        <d v="2024-05-24T00:00:00"/>
        <d v="2024-06-01T00:00:00"/>
        <d v="2024-07-14T00:00:00"/>
        <d v="2024-07-27T00:00:00"/>
        <d v="2024-07-28T00:00:00"/>
        <d v="2024-08-04T00:00:00"/>
        <d v="2024-08-08T00:00:00"/>
        <d v="2024-09-07T00:00:00"/>
        <d v="2024-09-13T00:00:00"/>
        <d v="2024-09-14T00:00:00"/>
        <d v="2024-10-01T00:00:00"/>
        <d v="2024-10-08T00:00:00"/>
        <d v="2024-10-16T00:00:00"/>
        <d v="2024-11-05T00:00:00"/>
        <d v="2024-11-07T00:00:00"/>
        <d v="2025-01-01T00:00:00"/>
        <d v="2025-01-25T00:00:00"/>
        <d v="2025-02-02T00:00:00"/>
        <d v="2025-02-20T00:00:00"/>
        <d v="2025-03-11T00:00:00"/>
        <d v="2025-03-18T00:00:00"/>
        <d v="2025-03-26T00:00:00"/>
        <d v="2025-04-04T00:00:00"/>
        <d v="2025-04-11T00:00:00"/>
        <d v="2025-05-13T00:00:00"/>
        <d v="2025-06-01T00:00:00"/>
        <d v="2025-06-03T00:00:00"/>
        <d v="2025-08-03T00:00:00"/>
        <d v="2025-10-07T00:00:00"/>
        <d v="2025-10-21T00:00:00"/>
        <d v="2025-10-22T00:00:00"/>
        <d v="2025-10-27T00:00:00"/>
        <d v="2025-11-02T00:00:00"/>
        <d v="2025-11-13T00:00:00"/>
        <d v="2025-11-15T00:00:00"/>
        <d v="2025-12-12T00:00:00"/>
        <d v="2025-12-14T00:00:00"/>
        <d v="2025-12-28T00:00:00"/>
        <d v="2026-01-07T00:00:00"/>
        <d v="2026-01-09T00:00:00"/>
        <d v="2026-01-10T00:00:00"/>
        <d v="2026-02-15T00:00:00"/>
        <d v="2026-02-20T00:00:00"/>
        <d v="2026-03-08T00:00:00"/>
        <d v="2026-03-21T00:00:00"/>
        <d v="2026-04-07T00:00:00"/>
        <d v="2026-04-18T00:00:00"/>
        <d v="2026-05-06T00:00:00"/>
        <d v="2026-05-09T00:00:00"/>
        <d v="2026-05-14T00:00:00"/>
        <d v="2026-05-18T00:00:00"/>
        <d v="2026-06-03T00:00:00"/>
        <d v="2026-06-10T00:00:00"/>
        <d v="2026-06-22T00:00:00"/>
        <d v="2026-06-23T00:00:00"/>
        <d v="2026-06-26T00:00:00"/>
        <d v="2026-07-12T00:00:00"/>
        <d v="2026-07-19T00:00:00"/>
        <d v="2026-07-20T00:00:00"/>
        <d v="2026-08-02T00:00:00"/>
        <d v="2026-08-04T00:00:00"/>
        <d v="2026-08-09T00:00:00"/>
        <d v="2026-08-17T00:00:00"/>
        <d v="2026-08-20T00:00:00"/>
        <d v="2026-09-01T00:00:00"/>
        <d v="2026-09-19T00:00:00"/>
        <d v="2026-09-26T00:00:00"/>
        <d v="2026-09-28T00:00:00"/>
        <d v="2026-10-01T00:00:00"/>
        <d v="2026-10-04T00:00:00"/>
        <d v="2026-10-05T00:00:00"/>
        <d v="2026-10-06T00:00:00"/>
        <d v="2026-10-07T00:00:00"/>
        <d v="2022-03-07T00:00:00"/>
        <d v="2022-11-16T00:00:00"/>
        <d v="2023-11-02T00:00:00"/>
        <d v="2024-01-06T00:00:00"/>
        <d v="2024-07-12T00:00:00"/>
        <d v="2024-07-17T00:00:00"/>
        <d v="2025-12-06T00:00:00"/>
        <d v="2026-03-06T00:00:00"/>
        <d v="2026-03-28T00:00:00"/>
      </sharedItems>
    </cacheField>
    <cacheField name="Estado" numFmtId="0">
      <sharedItems count="3">
        <s v="Activo"/>
        <s v="Licencia"/>
        <s v="Baja"/>
      </sharedItems>
    </cacheField>
    <cacheField name="Rating Desempeño" numFmtId="0">
      <sharedItems containsSemiMixedTypes="0" containsString="0" containsNumber="1" minValue="2.1" maxValue="5"/>
    </cacheField>
    <cacheField name="Fecha Baja" numFmtId="168">
      <sharedItems containsNonDate="0" containsDate="1" containsString="0" containsBlank="1" minDate="2026-05-11T00:00:00" maxDate="2026-10-21T00:00:00"/>
    </cacheField>
  </cacheFields>
  <extLst>
    <ext xmlns:x14="http://schemas.microsoft.com/office/spreadsheetml/2009/9/main" uri="{725AE2AE-9491-48be-B2B4-4EB974FC3084}">
      <x14:pivotCacheDefinition pivotCacheId="2086129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s v="Lucía Rodríguez"/>
    <x v="0"/>
    <x v="0"/>
    <s v="Analista"/>
    <x v="0"/>
    <x v="0"/>
    <x v="0"/>
    <n v="4.5"/>
    <m/>
  </r>
  <r>
    <x v="1"/>
    <s v="Julieta Fernández"/>
    <x v="1"/>
    <x v="1"/>
    <s v="Especialista"/>
    <x v="1"/>
    <x v="1"/>
    <x v="0"/>
    <n v="3.5"/>
    <m/>
  </r>
  <r>
    <x v="2"/>
    <s v="Isabella Suárez"/>
    <x v="2"/>
    <x v="2"/>
    <s v="Senior"/>
    <x v="2"/>
    <x v="2"/>
    <x v="1"/>
    <n v="2.9"/>
    <m/>
  </r>
  <r>
    <x v="3"/>
    <s v="Ramiro López"/>
    <x v="0"/>
    <x v="3"/>
    <s v="Senior"/>
    <x v="3"/>
    <x v="3"/>
    <x v="0"/>
    <n v="3.8"/>
    <m/>
  </r>
  <r>
    <x v="4"/>
    <s v="Valentina Ramírez"/>
    <x v="2"/>
    <x v="4"/>
    <s v="Analista"/>
    <x v="4"/>
    <x v="4"/>
    <x v="0"/>
    <n v="3"/>
    <m/>
  </r>
  <r>
    <x v="5"/>
    <s v="Leandro Ibáñez"/>
    <x v="2"/>
    <x v="5"/>
    <s v="Senior"/>
    <x v="5"/>
    <x v="5"/>
    <x v="0"/>
    <n v="4"/>
    <m/>
  </r>
  <r>
    <x v="6"/>
    <s v="Antonia Acosta"/>
    <x v="2"/>
    <x v="5"/>
    <s v="Senior"/>
    <x v="6"/>
    <x v="6"/>
    <x v="0"/>
    <n v="4.8"/>
    <m/>
  </r>
  <r>
    <x v="7"/>
    <s v="Bruno Acosta"/>
    <x v="2"/>
    <x v="2"/>
    <s v="Senior"/>
    <x v="0"/>
    <x v="7"/>
    <x v="0"/>
    <n v="3.5"/>
    <m/>
  </r>
  <r>
    <x v="8"/>
    <s v="Daniela Núñez"/>
    <x v="1"/>
    <x v="1"/>
    <s v="Especialista"/>
    <x v="7"/>
    <x v="8"/>
    <x v="0"/>
    <n v="3.3"/>
    <m/>
  </r>
  <r>
    <x v="9"/>
    <s v="Emiliano Vera"/>
    <x v="2"/>
    <x v="2"/>
    <s v="Senior"/>
    <x v="8"/>
    <x v="9"/>
    <x v="0"/>
    <n v="3.1"/>
    <m/>
  </r>
  <r>
    <x v="10"/>
    <s v="Catalina Pérez"/>
    <x v="2"/>
    <x v="6"/>
    <s v="Junior"/>
    <x v="9"/>
    <x v="10"/>
    <x v="0"/>
    <n v="3.8"/>
    <m/>
  </r>
  <r>
    <x v="11"/>
    <s v="Camila Ramírez"/>
    <x v="3"/>
    <x v="7"/>
    <s v="Analista"/>
    <x v="10"/>
    <x v="11"/>
    <x v="0"/>
    <n v="3.2"/>
    <m/>
  </r>
  <r>
    <x v="12"/>
    <s v="Julián Rojas"/>
    <x v="1"/>
    <x v="8"/>
    <s v="Especialista"/>
    <x v="11"/>
    <x v="12"/>
    <x v="0"/>
    <n v="4.0999999999999996"/>
    <m/>
  </r>
  <r>
    <x v="13"/>
    <s v="Abril Sánchez"/>
    <x v="0"/>
    <x v="9"/>
    <s v="Junior"/>
    <x v="12"/>
    <x v="13"/>
    <x v="0"/>
    <n v="2.5"/>
    <m/>
  </r>
  <r>
    <x v="14"/>
    <s v="Valentina Álvarez"/>
    <x v="3"/>
    <x v="10"/>
    <s v="Junior"/>
    <x v="13"/>
    <x v="14"/>
    <x v="0"/>
    <n v="4.5"/>
    <m/>
  </r>
  <r>
    <x v="15"/>
    <s v="Joaquín Álvarez"/>
    <x v="2"/>
    <x v="11"/>
    <s v="Analista"/>
    <x v="14"/>
    <x v="15"/>
    <x v="0"/>
    <n v="5"/>
    <m/>
  </r>
  <r>
    <x v="16"/>
    <s v="Antonia Fernández"/>
    <x v="2"/>
    <x v="4"/>
    <s v="Analista"/>
    <x v="15"/>
    <x v="16"/>
    <x v="0"/>
    <n v="4.7"/>
    <m/>
  </r>
  <r>
    <x v="17"/>
    <s v="Sebastián Gómez"/>
    <x v="0"/>
    <x v="9"/>
    <s v="Junior"/>
    <x v="16"/>
    <x v="17"/>
    <x v="0"/>
    <n v="3.9"/>
    <m/>
  </r>
  <r>
    <x v="18"/>
    <s v="Antonia Benítez"/>
    <x v="2"/>
    <x v="11"/>
    <s v="Analista"/>
    <x v="17"/>
    <x v="18"/>
    <x v="0"/>
    <n v="2.7"/>
    <m/>
  </r>
  <r>
    <x v="19"/>
    <s v="Joaquín Sánchez"/>
    <x v="0"/>
    <x v="0"/>
    <s v="Analista"/>
    <x v="11"/>
    <x v="19"/>
    <x v="0"/>
    <n v="4.0999999999999996"/>
    <m/>
  </r>
  <r>
    <x v="20"/>
    <s v="Victoria Núñez"/>
    <x v="2"/>
    <x v="6"/>
    <s v="Junior"/>
    <x v="18"/>
    <x v="20"/>
    <x v="0"/>
    <n v="3.8"/>
    <m/>
  </r>
  <r>
    <x v="21"/>
    <s v="Valentina García"/>
    <x v="3"/>
    <x v="12"/>
    <s v="Especialista"/>
    <x v="19"/>
    <x v="21"/>
    <x v="0"/>
    <n v="3.4"/>
    <m/>
  </r>
  <r>
    <x v="22"/>
    <s v="Renata Medina"/>
    <x v="1"/>
    <x v="8"/>
    <s v="Especialista"/>
    <x v="20"/>
    <x v="22"/>
    <x v="0"/>
    <n v="3.2"/>
    <m/>
  </r>
  <r>
    <x v="23"/>
    <s v="Sofía Rodríguez"/>
    <x v="1"/>
    <x v="1"/>
    <s v="Especialista"/>
    <x v="21"/>
    <x v="23"/>
    <x v="0"/>
    <n v="2.5"/>
    <m/>
  </r>
  <r>
    <x v="24"/>
    <s v="Josefina Martínez"/>
    <x v="4"/>
    <x v="13"/>
    <s v="Senior"/>
    <x v="22"/>
    <x v="24"/>
    <x v="0"/>
    <n v="3.8"/>
    <m/>
  </r>
  <r>
    <x v="25"/>
    <s v="Emilia Flores"/>
    <x v="0"/>
    <x v="3"/>
    <s v="Senior"/>
    <x v="23"/>
    <x v="25"/>
    <x v="0"/>
    <n v="3.9"/>
    <m/>
  </r>
  <r>
    <x v="26"/>
    <s v="Rocío Romero"/>
    <x v="3"/>
    <x v="10"/>
    <s v="Junior"/>
    <x v="24"/>
    <x v="26"/>
    <x v="0"/>
    <n v="3.5"/>
    <m/>
  </r>
  <r>
    <x v="27"/>
    <s v="Tomás Medina"/>
    <x v="2"/>
    <x v="11"/>
    <s v="Analista"/>
    <x v="25"/>
    <x v="27"/>
    <x v="0"/>
    <n v="3.6"/>
    <m/>
  </r>
  <r>
    <x v="28"/>
    <s v="Emiliano Díaz"/>
    <x v="3"/>
    <x v="12"/>
    <s v="Especialista"/>
    <x v="26"/>
    <x v="28"/>
    <x v="0"/>
    <n v="3.5"/>
    <m/>
  </r>
  <r>
    <x v="29"/>
    <s v="Valentina López"/>
    <x v="2"/>
    <x v="11"/>
    <s v="Analista"/>
    <x v="27"/>
    <x v="29"/>
    <x v="0"/>
    <n v="3.9"/>
    <m/>
  </r>
  <r>
    <x v="30"/>
    <s v="Alejandro Álvarez"/>
    <x v="3"/>
    <x v="10"/>
    <s v="Junior"/>
    <x v="28"/>
    <x v="30"/>
    <x v="0"/>
    <n v="3.2"/>
    <m/>
  </r>
  <r>
    <x v="31"/>
    <s v="Andrés Vera"/>
    <x v="3"/>
    <x v="12"/>
    <s v="Especialista"/>
    <x v="29"/>
    <x v="31"/>
    <x v="0"/>
    <n v="3.8"/>
    <m/>
  </r>
  <r>
    <x v="32"/>
    <s v="Valentina Sánchez"/>
    <x v="0"/>
    <x v="3"/>
    <s v="Senior"/>
    <x v="2"/>
    <x v="32"/>
    <x v="0"/>
    <n v="3.6"/>
    <m/>
  </r>
  <r>
    <x v="33"/>
    <s v="Sofía González"/>
    <x v="2"/>
    <x v="11"/>
    <s v="Analista"/>
    <x v="30"/>
    <x v="33"/>
    <x v="0"/>
    <n v="4.5999999999999996"/>
    <m/>
  </r>
  <r>
    <x v="34"/>
    <s v="Andrés Benítez"/>
    <x v="4"/>
    <x v="13"/>
    <s v="Senior"/>
    <x v="22"/>
    <x v="34"/>
    <x v="1"/>
    <n v="3.7"/>
    <m/>
  </r>
  <r>
    <x v="35"/>
    <s v="Valeria Rivas"/>
    <x v="1"/>
    <x v="8"/>
    <s v="Especialista"/>
    <x v="31"/>
    <x v="35"/>
    <x v="0"/>
    <n v="3.4"/>
    <m/>
  </r>
  <r>
    <x v="36"/>
    <s v="Diego Rojas"/>
    <x v="4"/>
    <x v="13"/>
    <s v="Senior"/>
    <x v="32"/>
    <x v="36"/>
    <x v="0"/>
    <n v="3.9"/>
    <m/>
  </r>
  <r>
    <x v="37"/>
    <s v="Julián Molina"/>
    <x v="4"/>
    <x v="14"/>
    <s v="Especialista"/>
    <x v="33"/>
    <x v="36"/>
    <x v="0"/>
    <n v="2.5"/>
    <m/>
  </r>
  <r>
    <x v="38"/>
    <s v="Tomás Ramírez"/>
    <x v="2"/>
    <x v="4"/>
    <s v="Analista"/>
    <x v="34"/>
    <x v="37"/>
    <x v="0"/>
    <n v="4.2"/>
    <m/>
  </r>
  <r>
    <x v="39"/>
    <s v="Martina Rodríguez"/>
    <x v="1"/>
    <x v="15"/>
    <s v="Analista"/>
    <x v="35"/>
    <x v="38"/>
    <x v="0"/>
    <n v="3.6"/>
    <m/>
  </r>
  <r>
    <x v="40"/>
    <s v="Valentina Fernández"/>
    <x v="2"/>
    <x v="6"/>
    <s v="Junior"/>
    <x v="36"/>
    <x v="39"/>
    <x v="0"/>
    <n v="2.6"/>
    <m/>
  </r>
  <r>
    <x v="41"/>
    <s v="Julieta Núñez"/>
    <x v="2"/>
    <x v="4"/>
    <s v="Analista"/>
    <x v="37"/>
    <x v="40"/>
    <x v="0"/>
    <n v="3.6"/>
    <m/>
  </r>
  <r>
    <x v="42"/>
    <s v="Sofía Ibáñez"/>
    <x v="3"/>
    <x v="10"/>
    <s v="Junior"/>
    <x v="38"/>
    <x v="41"/>
    <x v="0"/>
    <n v="3.9"/>
    <m/>
  </r>
  <r>
    <x v="43"/>
    <s v="Antonella García"/>
    <x v="3"/>
    <x v="12"/>
    <s v="Especialista"/>
    <x v="39"/>
    <x v="41"/>
    <x v="0"/>
    <n v="3.7"/>
    <m/>
  </r>
  <r>
    <x v="44"/>
    <s v="Victoria Gómez"/>
    <x v="4"/>
    <x v="16"/>
    <s v="Analista"/>
    <x v="40"/>
    <x v="42"/>
    <x v="0"/>
    <n v="3.5"/>
    <m/>
  </r>
  <r>
    <x v="45"/>
    <s v="Facundo Díaz"/>
    <x v="2"/>
    <x v="2"/>
    <s v="Senior"/>
    <x v="41"/>
    <x v="43"/>
    <x v="0"/>
    <n v="3.9"/>
    <m/>
  </r>
  <r>
    <x v="46"/>
    <s v="Daniela Molina"/>
    <x v="2"/>
    <x v="2"/>
    <s v="Senior"/>
    <x v="29"/>
    <x v="44"/>
    <x v="0"/>
    <n v="3.3"/>
    <m/>
  </r>
  <r>
    <x v="47"/>
    <s v="Facundo Silva"/>
    <x v="0"/>
    <x v="9"/>
    <s v="Junior"/>
    <x v="42"/>
    <x v="45"/>
    <x v="0"/>
    <n v="3.4"/>
    <m/>
  </r>
  <r>
    <x v="48"/>
    <s v="Lucía Castro"/>
    <x v="4"/>
    <x v="14"/>
    <s v="Especialista"/>
    <x v="5"/>
    <x v="46"/>
    <x v="0"/>
    <n v="4.4000000000000004"/>
    <m/>
  </r>
  <r>
    <x v="49"/>
    <s v="Rodrigo González"/>
    <x v="1"/>
    <x v="1"/>
    <s v="Especialista"/>
    <x v="27"/>
    <x v="47"/>
    <x v="0"/>
    <n v="4.9000000000000004"/>
    <m/>
  </r>
  <r>
    <x v="50"/>
    <s v="Julieta Rodríguez"/>
    <x v="2"/>
    <x v="5"/>
    <s v="Senior"/>
    <x v="43"/>
    <x v="48"/>
    <x v="0"/>
    <n v="3.5"/>
    <m/>
  </r>
  <r>
    <x v="51"/>
    <s v="Emilia Ortiz"/>
    <x v="4"/>
    <x v="13"/>
    <s v="Senior"/>
    <x v="44"/>
    <x v="49"/>
    <x v="0"/>
    <n v="4.4000000000000004"/>
    <m/>
  </r>
  <r>
    <x v="52"/>
    <s v="Emilia Castro"/>
    <x v="1"/>
    <x v="15"/>
    <s v="Analista"/>
    <x v="45"/>
    <x v="50"/>
    <x v="0"/>
    <n v="4"/>
    <m/>
  </r>
  <r>
    <x v="53"/>
    <s v="Facundo García"/>
    <x v="0"/>
    <x v="9"/>
    <s v="Junior"/>
    <x v="10"/>
    <x v="51"/>
    <x v="0"/>
    <n v="3.8"/>
    <m/>
  </r>
  <r>
    <x v="54"/>
    <s v="Paula Silva"/>
    <x v="2"/>
    <x v="11"/>
    <s v="Analista"/>
    <x v="46"/>
    <x v="52"/>
    <x v="0"/>
    <n v="4.2"/>
    <m/>
  </r>
  <r>
    <x v="55"/>
    <s v="Paula Romero"/>
    <x v="1"/>
    <x v="15"/>
    <s v="Analista"/>
    <x v="47"/>
    <x v="53"/>
    <x v="0"/>
    <n v="3.1"/>
    <m/>
  </r>
  <r>
    <x v="56"/>
    <s v="Lucas Herrera"/>
    <x v="4"/>
    <x v="13"/>
    <s v="Senior"/>
    <x v="48"/>
    <x v="54"/>
    <x v="0"/>
    <n v="2.9"/>
    <m/>
  </r>
  <r>
    <x v="57"/>
    <s v="Milagros González"/>
    <x v="3"/>
    <x v="7"/>
    <s v="Analista"/>
    <x v="49"/>
    <x v="55"/>
    <x v="0"/>
    <n v="4.3"/>
    <m/>
  </r>
  <r>
    <x v="58"/>
    <s v="Rocío González"/>
    <x v="3"/>
    <x v="12"/>
    <s v="Especialista"/>
    <x v="50"/>
    <x v="56"/>
    <x v="0"/>
    <n v="3.7"/>
    <m/>
  </r>
  <r>
    <x v="59"/>
    <s v="Maximiliano Fernández"/>
    <x v="3"/>
    <x v="17"/>
    <s v="Analista"/>
    <x v="51"/>
    <x v="57"/>
    <x v="1"/>
    <n v="4.5"/>
    <m/>
  </r>
  <r>
    <x v="60"/>
    <s v="Isabella Benítez"/>
    <x v="2"/>
    <x v="2"/>
    <s v="Senior"/>
    <x v="52"/>
    <x v="58"/>
    <x v="0"/>
    <n v="4.3"/>
    <m/>
  </r>
  <r>
    <x v="61"/>
    <s v="Camila Castro"/>
    <x v="0"/>
    <x v="9"/>
    <s v="Junior"/>
    <x v="53"/>
    <x v="59"/>
    <x v="0"/>
    <n v="3.2"/>
    <m/>
  </r>
  <r>
    <x v="62"/>
    <s v="Victoria Castro"/>
    <x v="3"/>
    <x v="12"/>
    <s v="Especialista"/>
    <x v="54"/>
    <x v="60"/>
    <x v="1"/>
    <n v="2.9"/>
    <m/>
  </r>
  <r>
    <x v="63"/>
    <s v="Florencia Núñez"/>
    <x v="4"/>
    <x v="16"/>
    <s v="Analista"/>
    <x v="55"/>
    <x v="61"/>
    <x v="0"/>
    <n v="4.7"/>
    <m/>
  </r>
  <r>
    <x v="64"/>
    <s v="Ignacio Núñez"/>
    <x v="2"/>
    <x v="11"/>
    <s v="Analista"/>
    <x v="0"/>
    <x v="62"/>
    <x v="0"/>
    <n v="3.9"/>
    <m/>
  </r>
  <r>
    <x v="65"/>
    <s v="Valeria Martínez"/>
    <x v="2"/>
    <x v="5"/>
    <s v="Senior"/>
    <x v="56"/>
    <x v="63"/>
    <x v="0"/>
    <n v="4.4000000000000004"/>
    <m/>
  </r>
  <r>
    <x v="66"/>
    <s v="Ignacio Gómez"/>
    <x v="3"/>
    <x v="10"/>
    <s v="Junior"/>
    <x v="57"/>
    <x v="64"/>
    <x v="0"/>
    <n v="2.9"/>
    <m/>
  </r>
  <r>
    <x v="67"/>
    <s v="Paula Suárez"/>
    <x v="4"/>
    <x v="18"/>
    <s v="Especialista"/>
    <x v="58"/>
    <x v="65"/>
    <x v="0"/>
    <n v="3.2"/>
    <m/>
  </r>
  <r>
    <x v="68"/>
    <s v="Milagros Pérez"/>
    <x v="1"/>
    <x v="15"/>
    <s v="Analista"/>
    <x v="59"/>
    <x v="66"/>
    <x v="0"/>
    <n v="4.3"/>
    <m/>
  </r>
  <r>
    <x v="69"/>
    <s v="Alejandro Molina"/>
    <x v="1"/>
    <x v="8"/>
    <s v="Especialista"/>
    <x v="60"/>
    <x v="67"/>
    <x v="0"/>
    <n v="3.5"/>
    <m/>
  </r>
  <r>
    <x v="70"/>
    <s v="Santiago Sánchez"/>
    <x v="2"/>
    <x v="11"/>
    <s v="Analista"/>
    <x v="61"/>
    <x v="68"/>
    <x v="0"/>
    <n v="4.8"/>
    <m/>
  </r>
  <r>
    <x v="71"/>
    <s v="Emiliano Gómez"/>
    <x v="0"/>
    <x v="0"/>
    <s v="Analista"/>
    <x v="62"/>
    <x v="69"/>
    <x v="0"/>
    <n v="2.9"/>
    <m/>
  </r>
  <r>
    <x v="72"/>
    <s v="Emilia Ruiz"/>
    <x v="2"/>
    <x v="5"/>
    <s v="Senior"/>
    <x v="3"/>
    <x v="70"/>
    <x v="0"/>
    <n v="3.3"/>
    <m/>
  </r>
  <r>
    <x v="73"/>
    <s v="Ximena Rojas"/>
    <x v="1"/>
    <x v="15"/>
    <s v="Analista"/>
    <x v="63"/>
    <x v="71"/>
    <x v="0"/>
    <n v="4"/>
    <m/>
  </r>
  <r>
    <x v="74"/>
    <s v="Andrés Gómez"/>
    <x v="3"/>
    <x v="10"/>
    <s v="Junior"/>
    <x v="38"/>
    <x v="72"/>
    <x v="0"/>
    <n v="4"/>
    <m/>
  </r>
  <r>
    <x v="75"/>
    <s v="Nicolás Benítez"/>
    <x v="2"/>
    <x v="11"/>
    <s v="Analista"/>
    <x v="23"/>
    <x v="73"/>
    <x v="0"/>
    <n v="3.8"/>
    <m/>
  </r>
  <r>
    <x v="76"/>
    <s v="Franco Molina"/>
    <x v="0"/>
    <x v="0"/>
    <s v="Analista"/>
    <x v="20"/>
    <x v="74"/>
    <x v="0"/>
    <n v="3.4"/>
    <m/>
  </r>
  <r>
    <x v="77"/>
    <s v="Rodrigo Ramírez"/>
    <x v="2"/>
    <x v="11"/>
    <s v="Analista"/>
    <x v="64"/>
    <x v="75"/>
    <x v="0"/>
    <n v="4"/>
    <m/>
  </r>
  <r>
    <x v="78"/>
    <s v="Benjamín Núñez"/>
    <x v="4"/>
    <x v="16"/>
    <s v="Analista"/>
    <x v="21"/>
    <x v="76"/>
    <x v="0"/>
    <n v="2.1"/>
    <m/>
  </r>
  <r>
    <x v="79"/>
    <s v="Joaquín Ortiz"/>
    <x v="3"/>
    <x v="10"/>
    <s v="Junior"/>
    <x v="65"/>
    <x v="77"/>
    <x v="1"/>
    <n v="3.1"/>
    <m/>
  </r>
  <r>
    <x v="80"/>
    <s v="Ignacio Ramírez"/>
    <x v="1"/>
    <x v="1"/>
    <s v="Especialista"/>
    <x v="42"/>
    <x v="78"/>
    <x v="0"/>
    <n v="3.6"/>
    <m/>
  </r>
  <r>
    <x v="81"/>
    <s v="Rocío Ruiz"/>
    <x v="3"/>
    <x v="17"/>
    <s v="Analista"/>
    <x v="58"/>
    <x v="79"/>
    <x v="0"/>
    <n v="3.2"/>
    <m/>
  </r>
  <r>
    <x v="82"/>
    <s v="Martina Álvarez"/>
    <x v="3"/>
    <x v="10"/>
    <s v="Junior"/>
    <x v="54"/>
    <x v="80"/>
    <x v="0"/>
    <n v="3"/>
    <m/>
  </r>
  <r>
    <x v="83"/>
    <s v="Gonzalo Martínez"/>
    <x v="2"/>
    <x v="2"/>
    <s v="Senior"/>
    <x v="66"/>
    <x v="81"/>
    <x v="0"/>
    <n v="3.4"/>
    <m/>
  </r>
  <r>
    <x v="84"/>
    <s v="Daniela Torres"/>
    <x v="3"/>
    <x v="10"/>
    <s v="Junior"/>
    <x v="19"/>
    <x v="82"/>
    <x v="0"/>
    <n v="3.6"/>
    <m/>
  </r>
  <r>
    <x v="85"/>
    <s v="Matías López"/>
    <x v="3"/>
    <x v="12"/>
    <s v="Especialista"/>
    <x v="67"/>
    <x v="83"/>
    <x v="0"/>
    <n v="3.1"/>
    <m/>
  </r>
  <r>
    <x v="86"/>
    <s v="Ramiro Ramírez"/>
    <x v="4"/>
    <x v="18"/>
    <s v="Especialista"/>
    <x v="68"/>
    <x v="84"/>
    <x v="1"/>
    <n v="3.1"/>
    <m/>
  </r>
  <r>
    <x v="87"/>
    <s v="Camila Pérez"/>
    <x v="3"/>
    <x v="7"/>
    <s v="Analista"/>
    <x v="41"/>
    <x v="85"/>
    <x v="0"/>
    <n v="4.8"/>
    <m/>
  </r>
  <r>
    <x v="88"/>
    <s v="Valentina Díaz"/>
    <x v="2"/>
    <x v="6"/>
    <s v="Junior"/>
    <x v="13"/>
    <x v="86"/>
    <x v="0"/>
    <n v="4.2"/>
    <m/>
  </r>
  <r>
    <x v="89"/>
    <s v="Mateo Torres"/>
    <x v="0"/>
    <x v="9"/>
    <s v="Junior"/>
    <x v="31"/>
    <x v="87"/>
    <x v="0"/>
    <n v="3.5"/>
    <m/>
  </r>
  <r>
    <x v="90"/>
    <s v="Alejandro Castro"/>
    <x v="2"/>
    <x v="11"/>
    <s v="Analista"/>
    <x v="69"/>
    <x v="88"/>
    <x v="0"/>
    <n v="3.7"/>
    <m/>
  </r>
  <r>
    <x v="91"/>
    <s v="Benjamín Suárez"/>
    <x v="1"/>
    <x v="15"/>
    <s v="Analista"/>
    <x v="70"/>
    <x v="89"/>
    <x v="0"/>
    <n v="3.9"/>
    <m/>
  </r>
  <r>
    <x v="92"/>
    <s v="Daniela Romero"/>
    <x v="3"/>
    <x v="7"/>
    <s v="Analista"/>
    <x v="71"/>
    <x v="90"/>
    <x v="0"/>
    <n v="2.9"/>
    <m/>
  </r>
  <r>
    <x v="93"/>
    <s v="Lucía Sánchez"/>
    <x v="3"/>
    <x v="12"/>
    <s v="Especialista"/>
    <x v="72"/>
    <x v="91"/>
    <x v="0"/>
    <n v="3.7"/>
    <m/>
  </r>
  <r>
    <x v="94"/>
    <s v="Tomás López"/>
    <x v="0"/>
    <x v="3"/>
    <s v="Senior"/>
    <x v="9"/>
    <x v="92"/>
    <x v="0"/>
    <n v="3.7"/>
    <m/>
  </r>
  <r>
    <x v="95"/>
    <s v="Florencia Silva"/>
    <x v="1"/>
    <x v="15"/>
    <s v="Analista"/>
    <x v="73"/>
    <x v="93"/>
    <x v="0"/>
    <n v="3.9"/>
    <m/>
  </r>
  <r>
    <x v="96"/>
    <s v="Isabella Fernández"/>
    <x v="0"/>
    <x v="0"/>
    <s v="Analista"/>
    <x v="74"/>
    <x v="94"/>
    <x v="0"/>
    <n v="2.6"/>
    <m/>
  </r>
  <r>
    <x v="97"/>
    <s v="Camila Martínez"/>
    <x v="2"/>
    <x v="11"/>
    <s v="Analista"/>
    <x v="75"/>
    <x v="95"/>
    <x v="0"/>
    <n v="4.4000000000000004"/>
    <m/>
  </r>
  <r>
    <x v="98"/>
    <s v="Lucía Álvarez"/>
    <x v="3"/>
    <x v="7"/>
    <s v="Analista"/>
    <x v="2"/>
    <x v="96"/>
    <x v="0"/>
    <n v="3.7"/>
    <m/>
  </r>
  <r>
    <x v="99"/>
    <s v="Antonella Vera"/>
    <x v="3"/>
    <x v="7"/>
    <s v="Analista"/>
    <x v="72"/>
    <x v="97"/>
    <x v="0"/>
    <n v="3.9"/>
    <m/>
  </r>
  <r>
    <x v="100"/>
    <s v="Valeria Ruiz"/>
    <x v="0"/>
    <x v="9"/>
    <s v="Junior"/>
    <x v="76"/>
    <x v="98"/>
    <x v="0"/>
    <n v="3.9"/>
    <m/>
  </r>
  <r>
    <x v="101"/>
    <s v="Benjamín Pérez"/>
    <x v="1"/>
    <x v="8"/>
    <s v="Especialista"/>
    <x v="77"/>
    <x v="99"/>
    <x v="0"/>
    <n v="4.2"/>
    <m/>
  </r>
  <r>
    <x v="102"/>
    <s v="Benjamín Benítez"/>
    <x v="1"/>
    <x v="15"/>
    <s v="Analista"/>
    <x v="78"/>
    <x v="100"/>
    <x v="0"/>
    <n v="3.8"/>
    <m/>
  </r>
  <r>
    <x v="103"/>
    <s v="Renata Ramírez"/>
    <x v="0"/>
    <x v="9"/>
    <s v="Junior"/>
    <x v="68"/>
    <x v="100"/>
    <x v="0"/>
    <n v="3.7"/>
    <m/>
  </r>
  <r>
    <x v="104"/>
    <s v="Carolina Martínez"/>
    <x v="0"/>
    <x v="3"/>
    <s v="Senior"/>
    <x v="29"/>
    <x v="101"/>
    <x v="0"/>
    <n v="3.7"/>
    <m/>
  </r>
  <r>
    <x v="105"/>
    <s v="Abril Rojas"/>
    <x v="1"/>
    <x v="1"/>
    <s v="Especialista"/>
    <x v="79"/>
    <x v="102"/>
    <x v="0"/>
    <n v="3"/>
    <m/>
  </r>
  <r>
    <x v="106"/>
    <s v="Maximiliano Castro"/>
    <x v="3"/>
    <x v="10"/>
    <s v="Junior"/>
    <x v="80"/>
    <x v="103"/>
    <x v="0"/>
    <n v="3.8"/>
    <m/>
  </r>
  <r>
    <x v="107"/>
    <s v="Joaquín Ruiz"/>
    <x v="4"/>
    <x v="18"/>
    <s v="Especialista"/>
    <x v="81"/>
    <x v="104"/>
    <x v="0"/>
    <n v="4.9000000000000004"/>
    <m/>
  </r>
  <r>
    <x v="108"/>
    <s v="Alejandro López"/>
    <x v="4"/>
    <x v="18"/>
    <s v="Especialista"/>
    <x v="9"/>
    <x v="105"/>
    <x v="0"/>
    <n v="3.7"/>
    <m/>
  </r>
  <r>
    <x v="109"/>
    <s v="Gabriela Núñez"/>
    <x v="3"/>
    <x v="7"/>
    <s v="Analista"/>
    <x v="7"/>
    <x v="106"/>
    <x v="0"/>
    <n v="3"/>
    <m/>
  </r>
  <r>
    <x v="110"/>
    <s v="Franco Ruiz"/>
    <x v="2"/>
    <x v="4"/>
    <s v="Analista"/>
    <x v="50"/>
    <x v="107"/>
    <x v="0"/>
    <n v="3.4"/>
    <m/>
  </r>
  <r>
    <x v="111"/>
    <s v="Matías González"/>
    <x v="0"/>
    <x v="0"/>
    <s v="Analista"/>
    <x v="82"/>
    <x v="108"/>
    <x v="0"/>
    <n v="3.5"/>
    <m/>
  </r>
  <r>
    <x v="112"/>
    <s v="Julián Ibáñez"/>
    <x v="2"/>
    <x v="2"/>
    <s v="Senior"/>
    <x v="83"/>
    <x v="109"/>
    <x v="0"/>
    <n v="4"/>
    <m/>
  </r>
  <r>
    <x v="113"/>
    <s v="Ignacio Flores"/>
    <x v="3"/>
    <x v="7"/>
    <s v="Analista"/>
    <x v="84"/>
    <x v="110"/>
    <x v="0"/>
    <n v="4"/>
    <m/>
  </r>
  <r>
    <x v="114"/>
    <s v="Ramiro Ruiz"/>
    <x v="4"/>
    <x v="13"/>
    <s v="Senior"/>
    <x v="27"/>
    <x v="111"/>
    <x v="0"/>
    <n v="3.8"/>
    <m/>
  </r>
  <r>
    <x v="115"/>
    <s v="Tomás Acosta"/>
    <x v="2"/>
    <x v="11"/>
    <s v="Analista"/>
    <x v="85"/>
    <x v="111"/>
    <x v="0"/>
    <n v="3.3"/>
    <m/>
  </r>
  <r>
    <x v="116"/>
    <s v="Valentina Ibáñez"/>
    <x v="1"/>
    <x v="8"/>
    <s v="Especialista"/>
    <x v="86"/>
    <x v="112"/>
    <x v="0"/>
    <n v="3.9"/>
    <m/>
  </r>
  <r>
    <x v="117"/>
    <s v="Tomás Sánchez"/>
    <x v="3"/>
    <x v="7"/>
    <s v="Analista"/>
    <x v="87"/>
    <x v="113"/>
    <x v="0"/>
    <n v="4.3"/>
    <m/>
  </r>
  <r>
    <x v="118"/>
    <s v="Ignacio Martínez"/>
    <x v="2"/>
    <x v="11"/>
    <s v="Analista"/>
    <x v="69"/>
    <x v="114"/>
    <x v="0"/>
    <n v="3.7"/>
    <m/>
  </r>
  <r>
    <x v="119"/>
    <s v="Antonella Ibáñez"/>
    <x v="2"/>
    <x v="2"/>
    <s v="Senior"/>
    <x v="29"/>
    <x v="115"/>
    <x v="0"/>
    <n v="3.3"/>
    <m/>
  </r>
  <r>
    <x v="120"/>
    <s v="Ramiro Romero"/>
    <x v="2"/>
    <x v="6"/>
    <s v="Junior"/>
    <x v="8"/>
    <x v="116"/>
    <x v="2"/>
    <n v="3.6"/>
    <d v="2026-09-23T00:00:00"/>
  </r>
  <r>
    <x v="121"/>
    <s v="Joaquín Núñez"/>
    <x v="0"/>
    <x v="3"/>
    <s v="Senior"/>
    <x v="88"/>
    <x v="117"/>
    <x v="2"/>
    <n v="4.4000000000000004"/>
    <d v="2026-05-11T00:00:00"/>
  </r>
  <r>
    <x v="122"/>
    <s v="Joaquín Medina"/>
    <x v="3"/>
    <x v="7"/>
    <s v="Analista"/>
    <x v="89"/>
    <x v="7"/>
    <x v="2"/>
    <n v="2.6"/>
    <d v="2026-10-13T00:00:00"/>
  </r>
  <r>
    <x v="123"/>
    <s v="Ramiro Núñez"/>
    <x v="1"/>
    <x v="15"/>
    <s v="Analista"/>
    <x v="90"/>
    <x v="12"/>
    <x v="2"/>
    <n v="2.6"/>
    <d v="2026-06-24T00:00:00"/>
  </r>
  <r>
    <x v="124"/>
    <s v="Matías Gómez"/>
    <x v="2"/>
    <x v="2"/>
    <s v="Senior"/>
    <x v="91"/>
    <x v="118"/>
    <x v="2"/>
    <n v="3.3"/>
    <d v="2026-09-09T00:00:00"/>
  </r>
  <r>
    <x v="125"/>
    <s v="Valeria Silva"/>
    <x v="0"/>
    <x v="0"/>
    <s v="Analista"/>
    <x v="92"/>
    <x v="119"/>
    <x v="2"/>
    <n v="2.5"/>
    <d v="2026-10-15T00:00:00"/>
  </r>
  <r>
    <x v="126"/>
    <s v="Emilia García"/>
    <x v="2"/>
    <x v="2"/>
    <s v="Senior"/>
    <x v="93"/>
    <x v="120"/>
    <x v="2"/>
    <n v="3.2"/>
    <d v="2026-08-09T00:00:00"/>
  </r>
  <r>
    <x v="127"/>
    <s v="Catalina Romero"/>
    <x v="3"/>
    <x v="7"/>
    <s v="Analista"/>
    <x v="68"/>
    <x v="121"/>
    <x v="2"/>
    <n v="3.2"/>
    <d v="2026-08-14T00:00:00"/>
  </r>
  <r>
    <x v="128"/>
    <s v="Catalina Ramírez"/>
    <x v="0"/>
    <x v="9"/>
    <s v="Junior"/>
    <x v="94"/>
    <x v="66"/>
    <x v="2"/>
    <n v="4.3"/>
    <d v="2026-07-18T00:00:00"/>
  </r>
  <r>
    <x v="129"/>
    <s v="Lucía Rivas"/>
    <x v="1"/>
    <x v="1"/>
    <s v="Especialista"/>
    <x v="95"/>
    <x v="122"/>
    <x v="2"/>
    <n v="2.1"/>
    <d v="2026-10-20T00:00:00"/>
  </r>
  <r>
    <x v="130"/>
    <s v="Emilia Herrera"/>
    <x v="0"/>
    <x v="9"/>
    <s v="Junior"/>
    <x v="96"/>
    <x v="123"/>
    <x v="2"/>
    <n v="2.6"/>
    <d v="2026-06-08T00:00:00"/>
  </r>
  <r>
    <x v="131"/>
    <s v="Valeria Ramírez"/>
    <x v="0"/>
    <x v="9"/>
    <s v="Junior"/>
    <x v="19"/>
    <x v="124"/>
    <x v="2"/>
    <n v="3.9"/>
    <d v="2026-10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0FC7A-77F2-4F26-AF62-AC2436935CA8}" name="TablaDinámica4" cacheId="1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G8:H15" firstHeaderRow="1" firstDataRow="1" firstDataCol="1"/>
  <pivotFields count="10">
    <pivotField dataField="1" showAll="0"/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>
      <items count="20">
        <item x="3"/>
        <item x="15"/>
        <item x="17"/>
        <item x="16"/>
        <item x="2"/>
        <item x="18"/>
        <item x="13"/>
        <item x="8"/>
        <item x="6"/>
        <item x="5"/>
        <item x="11"/>
        <item x="0"/>
        <item x="12"/>
        <item x="1"/>
        <item x="7"/>
        <item x="4"/>
        <item x="10"/>
        <item x="9"/>
        <item x="14"/>
        <item t="default"/>
      </items>
    </pivotField>
    <pivotField showAll="0"/>
    <pivotField axis="axisRow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8" showAll="0">
      <items count="126">
        <item x="0"/>
        <item x="116"/>
        <item x="1"/>
        <item x="2"/>
        <item x="117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18"/>
        <item x="26"/>
        <item x="27"/>
        <item x="28"/>
        <item x="29"/>
        <item x="30"/>
        <item x="31"/>
        <item x="32"/>
        <item x="119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120"/>
        <item x="45"/>
        <item x="12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22"/>
        <item x="78"/>
        <item x="79"/>
        <item x="80"/>
        <item x="81"/>
        <item x="82"/>
        <item x="83"/>
        <item x="84"/>
        <item x="85"/>
        <item x="123"/>
        <item x="86"/>
        <item x="87"/>
        <item x="124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>
      <items count="4">
        <item x="0"/>
        <item h="1" x="2"/>
        <item x="1"/>
        <item t="default"/>
      </items>
    </pivotField>
    <pivotField showAll="0"/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Distribución salarial" fld="0" subtotal="count" baseField="5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F1D9B-9B53-4219-A24F-8A73260C92AA}" name="TablaDinámica3" cacheId="1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D8:E14" firstHeaderRow="1" firstDataRow="1" firstDataCol="1"/>
  <pivotFields count="10">
    <pivotField dataField="1" showAll="0">
      <items count="133">
        <item x="0"/>
        <item x="120"/>
        <item x="1"/>
        <item x="2"/>
        <item x="121"/>
        <item x="3"/>
        <item x="4"/>
        <item x="5"/>
        <item x="6"/>
        <item x="122"/>
        <item x="7"/>
        <item x="8"/>
        <item x="9"/>
        <item x="10"/>
        <item x="11"/>
        <item x="123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24"/>
        <item x="26"/>
        <item x="27"/>
        <item x="28"/>
        <item x="29"/>
        <item x="30"/>
        <item x="31"/>
        <item x="32"/>
        <item x="125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126"/>
        <item x="47"/>
        <item x="12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28"/>
        <item x="69"/>
        <item x="70"/>
        <item x="71"/>
        <item x="72"/>
        <item x="73"/>
        <item x="74"/>
        <item x="75"/>
        <item x="76"/>
        <item x="77"/>
        <item x="78"/>
        <item x="79"/>
        <item x="129"/>
        <item x="80"/>
        <item x="81"/>
        <item x="82"/>
        <item x="83"/>
        <item x="84"/>
        <item x="85"/>
        <item x="86"/>
        <item x="87"/>
        <item x="130"/>
        <item x="88"/>
        <item x="89"/>
        <item x="131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>
      <items count="20">
        <item x="3"/>
        <item x="15"/>
        <item x="17"/>
        <item x="16"/>
        <item x="2"/>
        <item x="18"/>
        <item x="13"/>
        <item x="8"/>
        <item x="6"/>
        <item x="5"/>
        <item x="11"/>
        <item x="0"/>
        <item x="12"/>
        <item x="1"/>
        <item x="7"/>
        <item x="4"/>
        <item x="10"/>
        <item x="9"/>
        <item x="14"/>
        <item t="default"/>
      </items>
    </pivotField>
    <pivotField showAll="0"/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8" showAll="0">
      <items count="126">
        <item x="0"/>
        <item x="116"/>
        <item x="1"/>
        <item x="2"/>
        <item x="117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18"/>
        <item x="26"/>
        <item x="27"/>
        <item x="28"/>
        <item x="29"/>
        <item x="30"/>
        <item x="31"/>
        <item x="32"/>
        <item x="119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120"/>
        <item x="45"/>
        <item x="12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22"/>
        <item x="78"/>
        <item x="79"/>
        <item x="80"/>
        <item x="81"/>
        <item x="82"/>
        <item x="83"/>
        <item x="84"/>
        <item x="85"/>
        <item x="123"/>
        <item x="86"/>
        <item x="87"/>
        <item x="124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>
      <items count="4">
        <item x="0"/>
        <item h="1" x="2"/>
        <item x="1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otación por departamento" fld="0" subtotal="count" baseField="2" baseItem="0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9075B-1617-42EF-9357-77A78D775E58}" name="TablaDinámica2" cacheId="1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8:B14" firstHeaderRow="1" firstDataRow="1" firstDataCol="1"/>
  <pivotFields count="10"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>
      <items count="20">
        <item x="3"/>
        <item x="15"/>
        <item x="17"/>
        <item x="16"/>
        <item x="2"/>
        <item x="18"/>
        <item x="13"/>
        <item x="8"/>
        <item x="6"/>
        <item x="5"/>
        <item x="11"/>
        <item x="0"/>
        <item x="12"/>
        <item x="1"/>
        <item x="7"/>
        <item x="4"/>
        <item x="10"/>
        <item x="9"/>
        <item x="14"/>
        <item t="default"/>
      </items>
    </pivotField>
    <pivotField showAll="0"/>
    <pivotField dataField="1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8" showAll="0">
      <items count="126">
        <item x="0"/>
        <item x="116"/>
        <item x="1"/>
        <item x="2"/>
        <item x="117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18"/>
        <item x="26"/>
        <item x="27"/>
        <item x="28"/>
        <item x="29"/>
        <item x="30"/>
        <item x="31"/>
        <item x="32"/>
        <item x="119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120"/>
        <item x="45"/>
        <item x="12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22"/>
        <item x="78"/>
        <item x="79"/>
        <item x="80"/>
        <item x="81"/>
        <item x="82"/>
        <item x="83"/>
        <item x="84"/>
        <item x="85"/>
        <item x="123"/>
        <item x="86"/>
        <item x="87"/>
        <item x="124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>
      <items count="4">
        <item x="0"/>
        <item h="1" x="2"/>
        <item x="1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ario por departamento" fld="5" subtotal="average" baseField="2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520B7-7F18-4186-AF2A-39D1AA0AEF69}" name="TablaDinámica1" cacheId="1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C4" firstHeaderRow="0" firstDataRow="1" firstDataCol="0"/>
  <pivotFields count="10">
    <pivotField dataField="1" showAll="0">
      <items count="133">
        <item x="0"/>
        <item x="120"/>
        <item x="1"/>
        <item x="2"/>
        <item x="121"/>
        <item x="3"/>
        <item x="4"/>
        <item x="5"/>
        <item x="6"/>
        <item x="122"/>
        <item x="7"/>
        <item x="8"/>
        <item x="9"/>
        <item x="10"/>
        <item x="11"/>
        <item x="123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24"/>
        <item x="26"/>
        <item x="27"/>
        <item x="28"/>
        <item x="29"/>
        <item x="30"/>
        <item x="31"/>
        <item x="32"/>
        <item x="125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126"/>
        <item x="47"/>
        <item x="12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28"/>
        <item x="69"/>
        <item x="70"/>
        <item x="71"/>
        <item x="72"/>
        <item x="73"/>
        <item x="74"/>
        <item x="75"/>
        <item x="76"/>
        <item x="77"/>
        <item x="78"/>
        <item x="79"/>
        <item x="129"/>
        <item x="80"/>
        <item x="81"/>
        <item x="82"/>
        <item x="83"/>
        <item x="84"/>
        <item x="85"/>
        <item x="86"/>
        <item x="87"/>
        <item x="130"/>
        <item x="88"/>
        <item x="89"/>
        <item x="131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>
      <items count="20">
        <item x="3"/>
        <item x="15"/>
        <item x="17"/>
        <item x="16"/>
        <item x="2"/>
        <item x="18"/>
        <item x="13"/>
        <item x="8"/>
        <item x="6"/>
        <item x="5"/>
        <item x="11"/>
        <item x="0"/>
        <item x="12"/>
        <item x="1"/>
        <item x="7"/>
        <item x="4"/>
        <item x="10"/>
        <item x="9"/>
        <item x="14"/>
        <item t="default"/>
      </items>
    </pivotField>
    <pivotField showAll="0"/>
    <pivotField dataField="1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8" showAll="0">
      <items count="126">
        <item x="0"/>
        <item x="116"/>
        <item x="1"/>
        <item x="2"/>
        <item x="117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18"/>
        <item x="26"/>
        <item x="27"/>
        <item x="28"/>
        <item x="29"/>
        <item x="30"/>
        <item x="31"/>
        <item x="32"/>
        <item x="119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120"/>
        <item x="45"/>
        <item x="12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22"/>
        <item x="78"/>
        <item x="79"/>
        <item x="80"/>
        <item x="81"/>
        <item x="82"/>
        <item x="83"/>
        <item x="84"/>
        <item x="85"/>
        <item x="123"/>
        <item x="86"/>
        <item x="87"/>
        <item x="124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>
      <items count="4">
        <item x="0"/>
        <item h="1" x="2"/>
        <item x="1"/>
        <item t="default"/>
      </items>
    </pivotField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Empleados" fld="0" subtotal="count" baseField="0" baseItem="1"/>
    <dataField name="Costo nómina" fld="5" baseField="0" baseItem="1" numFmtId="164"/>
    <dataField name="Salario promedio" fld="5" subtotal="average" baseField="0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F9E71B38-3C70-4DCC-B5F9-AB55DD61565D}" sourceName="Departamento">
  <pivotTables>
    <pivotTable tabId="7" name="TablaDinámica2"/>
    <pivotTable tabId="7" name="TablaDinámica1"/>
    <pivotTable tabId="7" name="TablaDinámica3"/>
    <pivotTable tabId="7" name="TablaDinámica4"/>
  </pivotTables>
  <data>
    <tabular pivotCacheId="208612960">
      <items count="5">
        <i x="4" s="1"/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sto" xr10:uid="{66B27CDB-44BB-44F9-B4F0-35B8C2A4E0E7}" sourceName="Puesto">
  <pivotTables>
    <pivotTable tabId="7" name="TablaDinámica2"/>
    <pivotTable tabId="7" name="TablaDinámica1"/>
    <pivotTable tabId="7" name="TablaDinámica3"/>
    <pivotTable tabId="7" name="TablaDinámica4"/>
  </pivotTables>
  <data>
    <tabular pivotCacheId="208612960">
      <items count="19">
        <i x="3" s="1"/>
        <i x="15" s="1"/>
        <i x="17" s="1"/>
        <i x="16" s="1"/>
        <i x="2" s="1"/>
        <i x="18" s="1"/>
        <i x="13" s="1"/>
        <i x="8" s="1"/>
        <i x="6" s="1"/>
        <i x="5" s="1"/>
        <i x="11" s="1"/>
        <i x="0" s="1"/>
        <i x="12" s="1"/>
        <i x="1" s="1"/>
        <i x="7" s="1"/>
        <i x="4" s="1"/>
        <i x="10" s="1"/>
        <i x="9" s="1"/>
        <i x="1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BAE082E4-0613-424B-953D-0F0C91111893}" sourceName="Estado">
  <pivotTables>
    <pivotTable tabId="7" name="TablaDinámica2"/>
    <pivotTable tabId="7" name="TablaDinámica1"/>
    <pivotTable tabId="7" name="TablaDinámica3"/>
    <pivotTable tabId="7" name="TablaDinámica4"/>
  </pivotTables>
  <data>
    <tabular pivotCacheId="208612960">
      <items count="3">
        <i x="0" s="1"/>
        <i x="2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B1071EB7-D4F3-43FD-84B2-809385E85A52}" cache="SegmentaciónDeDatos_Departamento" caption="Departamento" rowHeight="234950"/>
  <slicer name="Puesto" xr10:uid="{AAD408C9-8790-4F90-A34E-002F3DF91A88}" cache="SegmentaciónDeDatos_Puesto" caption="Puesto" rowHeight="234950"/>
  <slicer name="Estado" xr10:uid="{A2853B53-4A5C-4582-AC24-DBA045A25A97}" cache="SegmentaciónDeDatos_Estado" caption="Estad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mpleados" displayName="TablaEmpleados" ref="A1:J133" totalsRowShown="0">
  <autoFilter ref="A1:J133" xr:uid="{00000000-0009-0000-0100-000001000000}"/>
  <tableColumns count="10">
    <tableColumn id="1" xr3:uid="{00000000-0010-0000-0000-000001000000}" name="ID Empleado"/>
    <tableColumn id="2" xr3:uid="{00000000-0010-0000-0000-000002000000}" name="Nombre"/>
    <tableColumn id="3" xr3:uid="{00000000-0010-0000-0000-000003000000}" name="Departamento"/>
    <tableColumn id="4" xr3:uid="{00000000-0010-0000-0000-000004000000}" name="Puesto"/>
    <tableColumn id="5" xr3:uid="{00000000-0010-0000-0000-000005000000}" name="Nivel"/>
    <tableColumn id="6" xr3:uid="{00000000-0010-0000-0000-000006000000}" name="Salario Mensual"/>
    <tableColumn id="7" xr3:uid="{00000000-0010-0000-0000-000007000000}" name="Fecha Ingreso"/>
    <tableColumn id="8" xr3:uid="{00000000-0010-0000-0000-000008000000}" name="Estado"/>
    <tableColumn id="9" xr3:uid="{00000000-0010-0000-0000-000009000000}" name="Rating Desempeño"/>
    <tableColumn id="10" xr3:uid="{00000000-0010-0000-0000-00000A000000}" name="Fecha Baj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Ingreso" xr10:uid="{610E519F-F86E-4451-985B-97FAADD3C0CC}" sourceName="Fecha Ingreso">
  <pivotTables>
    <pivotTable tabId="7" name="TablaDinámica2"/>
    <pivotTable tabId="7" name="TablaDinámica1"/>
    <pivotTable tabId="7" name="TablaDinámica3"/>
    <pivotTable tabId="7" name="TablaDinámica4"/>
  </pivotTables>
  <state minimalRefreshVersion="6" lastRefreshVersion="6" pivotCacheId="208612960" filterType="unknown">
    <bounds startDate="2022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Ingreso" xr10:uid="{B3D9B283-530F-4249-8A1E-BE48CE41F2CC}" cache="NativeTimeline_Fecha_Ingreso" caption="Fecha Ingreso" level="0" selectionLevel="0" scrollPosition="2023-10-13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5"/>
  <sheetViews>
    <sheetView showGridLines="0" tabSelected="1" zoomScale="90" zoomScaleNormal="90" workbookViewId="0"/>
  </sheetViews>
  <sheetFormatPr baseColWidth="10" defaultColWidth="8.6640625" defaultRowHeight="14.4" x14ac:dyDescent="0.3"/>
  <cols>
    <col min="1" max="1" width="2" customWidth="1"/>
    <col min="2" max="26" width="9.5546875" customWidth="1"/>
  </cols>
  <sheetData>
    <row r="2" spans="2:24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2:24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2:24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2:24" x14ac:dyDescent="0.3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2:24" ht="24" customHeight="1" x14ac:dyDescent="0.3">
      <c r="B6" s="12" t="s">
        <v>2</v>
      </c>
      <c r="C6" s="12"/>
      <c r="D6" s="12"/>
      <c r="E6" s="11" t="s">
        <v>3</v>
      </c>
      <c r="F6" s="11"/>
      <c r="G6" s="11"/>
      <c r="H6" s="10" t="s">
        <v>4</v>
      </c>
      <c r="I6" s="10"/>
      <c r="J6" s="10"/>
      <c r="K6" s="10"/>
      <c r="L6" s="10"/>
      <c r="M6" s="10"/>
      <c r="N6" s="10"/>
      <c r="O6" s="10"/>
      <c r="P6" s="10"/>
      <c r="Q6" s="10"/>
    </row>
    <row r="8" spans="2:24" ht="4.5" customHeight="1" x14ac:dyDescent="0.3">
      <c r="B8" s="9"/>
      <c r="C8" s="9"/>
      <c r="D8" s="9"/>
      <c r="F8" s="8"/>
      <c r="G8" s="8"/>
      <c r="H8" s="8"/>
      <c r="J8" s="7"/>
      <c r="K8" s="7"/>
      <c r="L8" s="7"/>
      <c r="N8" s="6"/>
      <c r="O8" s="6"/>
      <c r="P8" s="6"/>
      <c r="R8" s="5"/>
      <c r="S8" s="5"/>
      <c r="T8" s="5"/>
      <c r="V8" s="4"/>
      <c r="W8" s="4"/>
      <c r="X8" s="4"/>
    </row>
    <row r="9" spans="2:24" x14ac:dyDescent="0.3">
      <c r="B9" s="3" t="s">
        <v>5</v>
      </c>
      <c r="C9" s="3"/>
      <c r="D9" s="3"/>
      <c r="F9" s="3" t="s">
        <v>6</v>
      </c>
      <c r="G9" s="3"/>
      <c r="H9" s="3"/>
      <c r="J9" s="3" t="s">
        <v>7</v>
      </c>
      <c r="K9" s="3"/>
      <c r="L9" s="3"/>
      <c r="N9" s="3" t="s">
        <v>8</v>
      </c>
      <c r="O9" s="3"/>
      <c r="P9" s="3"/>
      <c r="R9" s="3" t="s">
        <v>9</v>
      </c>
      <c r="S9" s="3"/>
      <c r="T9" s="3"/>
      <c r="V9" s="3" t="s">
        <v>10</v>
      </c>
      <c r="W9" s="3"/>
      <c r="X9" s="3"/>
    </row>
    <row r="10" spans="2:24" ht="25.5" customHeight="1" x14ac:dyDescent="0.3">
      <c r="B10" s="2">
        <f>Calculos!B6</f>
        <v>120</v>
      </c>
      <c r="C10" s="2"/>
      <c r="D10" s="2"/>
      <c r="F10" s="1">
        <f>Calculos!B7</f>
        <v>404470</v>
      </c>
      <c r="G10" s="1"/>
      <c r="H10" s="1"/>
      <c r="J10" s="31">
        <f>Calculos!B8</f>
        <v>3370.5833333333335</v>
      </c>
      <c r="K10" s="31"/>
      <c r="L10" s="31"/>
      <c r="N10" s="32">
        <f>Calculos!B9</f>
        <v>0.99193548387096775</v>
      </c>
      <c r="O10" s="32"/>
      <c r="P10" s="32"/>
      <c r="R10" s="33">
        <f>Calculos!B10</f>
        <v>6</v>
      </c>
      <c r="S10" s="33"/>
      <c r="T10" s="33"/>
      <c r="V10" s="34">
        <f>Calculos!B11</f>
        <v>3.3333333333333333E-2</v>
      </c>
      <c r="W10" s="34"/>
      <c r="X10" s="34"/>
    </row>
    <row r="11" spans="2:24" ht="9.75" customHeight="1" x14ac:dyDescent="0.3">
      <c r="B11" s="2"/>
      <c r="C11" s="2"/>
      <c r="D11" s="2"/>
      <c r="F11" s="1"/>
      <c r="G11" s="1"/>
      <c r="H11" s="1"/>
      <c r="J11" s="31"/>
      <c r="K11" s="31"/>
      <c r="L11" s="31"/>
      <c r="N11" s="32"/>
      <c r="O11" s="32"/>
      <c r="P11" s="32"/>
      <c r="R11" s="33"/>
      <c r="S11" s="33"/>
      <c r="T11" s="33"/>
      <c r="V11" s="34"/>
      <c r="W11" s="34"/>
      <c r="X11" s="34"/>
    </row>
    <row r="12" spans="2:24" x14ac:dyDescent="0.3">
      <c r="B12" s="35" t="str">
        <f>IF(ROUND(Calculos!D6*100,1)=0,"● sin cambio vs. mes ant.",IF(Calculos!D6&gt;0,"▲ ","▼ ")&amp;ROUND(ABS(Calculos!D6)*100,1)&amp;"% vs. mes ant.")</f>
        <v>▲ 1.7% vs. mes ant.</v>
      </c>
      <c r="C12" s="35"/>
      <c r="D12" s="35"/>
      <c r="F12" s="35" t="str">
        <f>IF(ROUND(Calculos!D7*100,1)=0,"● sin cambio vs. mes ant.",IF(Calculos!D7&gt;0,"▲ ","▼ ")&amp;ROUND(ABS(Calculos!D7)*100,1)&amp;"% vs. mes ant.")</f>
        <v>▲ 2.9% vs. mes ant.</v>
      </c>
      <c r="G12" s="35"/>
      <c r="H12" s="35"/>
      <c r="J12" s="35" t="str">
        <f>IF(ROUND(Calculos!D8*100,1)=0,"● sin cambio vs. mes ant.",IF(Calculos!D8&gt;0,"▲ ","▼ ")&amp;ROUND(ABS(Calculos!D8)*100,1)&amp;"% vs. mes ant.")</f>
        <v>▲ 1.1% vs. mes ant.</v>
      </c>
      <c r="K12" s="35"/>
      <c r="L12" s="35"/>
      <c r="N12" s="35" t="str">
        <f>IF(ROUND(Calculos!D9*100,1)=0,"● sin cambio vs. mes ant.",IF(Calculos!D9&gt;0,"▲ ","▼ ")&amp;ROUND(ABS(Calculos!D9)*100,1)&amp;" pp vs. mes ant.")</f>
        <v>▲ 0.9 pp vs. mes ant.</v>
      </c>
      <c r="O12" s="35"/>
      <c r="P12" s="35"/>
      <c r="R12" s="35" t="str">
        <f>IF(ROUND(Calculos!D10*100,1)=0,"● sin cambio vs. mes ant.",IF(Calculos!D10&gt;0,"▲ ","▼ ")&amp;ROUND(ABS(Calculos!D10)*100,1)&amp;"% vs. mes ant.")</f>
        <v>▲ 50% vs. mes ant.</v>
      </c>
      <c r="S12" s="35"/>
      <c r="T12" s="35"/>
      <c r="V12" s="35" t="str">
        <f>IF(ROUND(Calculos!D11*100,1)=0,"● sin cambio vs. mes ant.",IF(Calculos!D11&gt;0,"▲ ","▼ ")&amp;ROUND(ABS(Calculos!D11)*100,1)&amp;" pp vs. mes ant.")</f>
        <v>▲ 1.6 pp vs. mes ant.</v>
      </c>
      <c r="W12" s="35"/>
      <c r="X12" s="35"/>
    </row>
    <row r="15" spans="2:24" ht="15.6" x14ac:dyDescent="0.3">
      <c r="B15" s="36" t="s">
        <v>11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37" spans="2:24" ht="15.6" x14ac:dyDescent="0.3">
      <c r="B37" s="36" t="s">
        <v>12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2:24" ht="21.75" customHeight="1" x14ac:dyDescent="0.3">
      <c r="R38" s="37" t="str">
        <f>"Hallazgos clave  ·  vista: "&amp;Calculos!B2</f>
        <v>Hallazgos clave  ·  vista: Todos</v>
      </c>
      <c r="S38" s="37"/>
      <c r="T38" s="37"/>
      <c r="U38" s="37"/>
      <c r="V38" s="37"/>
      <c r="W38" s="37"/>
      <c r="X38" s="37"/>
    </row>
    <row r="39" spans="2:24" x14ac:dyDescent="0.3">
      <c r="R39" s="38" t="str">
        <f>"• "&amp;INDEX(Calculos!$A$15:$A$19,MATCH(MAX(Calculos!$B$15:$B$19),Calculos!$B$15:$B$19,0))&amp;" tiene el salario promedio más alto ($"&amp;FIXED(MAX(Calculos!$B$15:$B$19),0)&amp;") y "&amp;INDEX(Calculos!$A$15:$A$19,MATCH(MIN(Calculos!$B$15:$B$19),Calculos!$B$15:$B$19,0))&amp;" el más bajo ($"&amp;FIXED(MIN(Calculos!$B$15:$B$19),0)&amp;")."</f>
        <v>• IT tiene el salario promedio más alto ($3,803) y Operaciones el más bajo ($3,028).</v>
      </c>
      <c r="S39" s="38"/>
      <c r="T39" s="38"/>
      <c r="U39" s="38"/>
      <c r="V39" s="38"/>
      <c r="W39" s="38"/>
      <c r="X39" s="38"/>
    </row>
    <row r="40" spans="2:24" x14ac:dyDescent="0.3">
      <c r="R40" s="38"/>
      <c r="S40" s="38"/>
      <c r="T40" s="38"/>
      <c r="U40" s="38"/>
      <c r="V40" s="38"/>
      <c r="W40" s="38"/>
      <c r="X40" s="38"/>
    </row>
    <row r="41" spans="2:24" x14ac:dyDescent="0.3">
      <c r="R41" s="38"/>
      <c r="S41" s="38"/>
      <c r="T41" s="38"/>
      <c r="U41" s="38"/>
      <c r="V41" s="38"/>
      <c r="W41" s="38"/>
      <c r="X41" s="38"/>
    </row>
    <row r="42" spans="2:24" x14ac:dyDescent="0.3">
      <c r="R42" s="38"/>
      <c r="S42" s="38"/>
      <c r="T42" s="38"/>
      <c r="U42" s="38"/>
      <c r="V42" s="38"/>
      <c r="W42" s="38"/>
      <c r="X42" s="38"/>
    </row>
    <row r="43" spans="2:24" x14ac:dyDescent="0.3">
      <c r="R43" s="38" t="str">
        <f>"• Entre mayo y octubre la dotación pasó de "&amp;Nomina_Mensual!D2&amp;" a "&amp;Nomina_Mensual!D7&amp;" empleados y la nómina de $"&amp;FIXED(Nomina_Mensual!E2,0)&amp;" a $"&amp;FIXED(Nomina_Mensual!E7,0)&amp;" ("&amp;IF(Nomina_Mensual!E7&gt;=Nomina_Mensual!E2,"+","-")&amp;ROUND(ABS(IFERROR(Nomina_Mensual!E7/Nomina_Mensual!E2-1,0))*100,1)&amp;"%)."</f>
        <v>• Entre mayo y octubre la dotación pasó de 107 a 120 empleados y la nómina de $354,390 a $404,470 (+14.1%).</v>
      </c>
      <c r="S43" s="38"/>
      <c r="T43" s="38"/>
      <c r="U43" s="38"/>
      <c r="V43" s="38"/>
      <c r="W43" s="38"/>
      <c r="X43" s="38"/>
    </row>
    <row r="44" spans="2:24" x14ac:dyDescent="0.3">
      <c r="R44" s="38"/>
      <c r="S44" s="38"/>
      <c r="T44" s="38"/>
      <c r="U44" s="38"/>
      <c r="V44" s="38"/>
      <c r="W44" s="38"/>
      <c r="X44" s="38"/>
    </row>
    <row r="45" spans="2:24" x14ac:dyDescent="0.3">
      <c r="R45" s="38"/>
      <c r="S45" s="38"/>
      <c r="T45" s="38"/>
      <c r="U45" s="38"/>
      <c r="V45" s="38"/>
      <c r="W45" s="38"/>
      <c r="X45" s="38"/>
    </row>
    <row r="46" spans="2:24" x14ac:dyDescent="0.3">
      <c r="R46" s="38"/>
      <c r="S46" s="38"/>
      <c r="T46" s="38"/>
      <c r="U46" s="38"/>
      <c r="V46" s="38"/>
      <c r="W46" s="38"/>
      <c r="X46" s="38"/>
    </row>
    <row r="47" spans="2:24" x14ac:dyDescent="0.3">
      <c r="R47" s="38" t="str">
        <f>"• La rotación de octubre fue "&amp;ROUND(Nomina_Mensual!H7*100,1)&amp;"% ("&amp;Nomina_Mensual!G7&amp;IF(Nomina_Mensual!G7=1," baja"," bajas")&amp;"), "&amp;IF(Nomina_Mensual!H7&gt;Nomina_Mensual!H6,"mayor","menor o igual")&amp;" que la de septiembre ("&amp;ROUND(Nomina_Mensual!H6*100,1)&amp;"%)."</f>
        <v>• La rotación de octubre fue 3.3% (4 bajas), mayor que la de septiembre (1.7%).</v>
      </c>
      <c r="S47" s="38"/>
      <c r="T47" s="38"/>
      <c r="U47" s="38"/>
      <c r="V47" s="38"/>
      <c r="W47" s="38"/>
      <c r="X47" s="38"/>
    </row>
    <row r="48" spans="2:24" x14ac:dyDescent="0.3">
      <c r="R48" s="38"/>
      <c r="S48" s="38"/>
      <c r="T48" s="38"/>
      <c r="U48" s="38"/>
      <c r="V48" s="38"/>
      <c r="W48" s="38"/>
      <c r="X48" s="38"/>
    </row>
    <row r="49" spans="2:24" x14ac:dyDescent="0.3">
      <c r="R49" s="38"/>
      <c r="S49" s="38"/>
      <c r="T49" s="38"/>
      <c r="U49" s="38"/>
      <c r="V49" s="38"/>
      <c r="W49" s="38"/>
      <c r="X49" s="38"/>
    </row>
    <row r="50" spans="2:24" x14ac:dyDescent="0.3">
      <c r="R50" s="38"/>
      <c r="S50" s="38"/>
      <c r="T50" s="38"/>
      <c r="U50" s="38"/>
      <c r="V50" s="38"/>
      <c r="W50" s="38"/>
      <c r="X50" s="38"/>
    </row>
    <row r="51" spans="2:24" x14ac:dyDescent="0.3">
      <c r="R51" s="38" t="str">
        <f>"• El desempeño explica cerca del "&amp;ROUND(Calculos!B31*100,0)&amp;"% de la variación salarial (R² = "&amp;ROUND(Calculos!B31,2)&amp;")."</f>
        <v>• El desempeño explica cerca del 71% de la variación salarial (R² = 0.71).</v>
      </c>
      <c r="S51" s="38"/>
      <c r="T51" s="38"/>
      <c r="U51" s="38"/>
      <c r="V51" s="38"/>
      <c r="W51" s="38"/>
      <c r="X51" s="38"/>
    </row>
    <row r="52" spans="2:24" x14ac:dyDescent="0.3">
      <c r="R52" s="38"/>
      <c r="S52" s="38"/>
      <c r="T52" s="38"/>
      <c r="U52" s="38"/>
      <c r="V52" s="38"/>
      <c r="W52" s="38"/>
      <c r="X52" s="38"/>
    </row>
    <row r="53" spans="2:24" x14ac:dyDescent="0.3">
      <c r="R53" s="38"/>
      <c r="S53" s="38"/>
      <c r="T53" s="38"/>
      <c r="U53" s="38"/>
      <c r="V53" s="38"/>
      <c r="W53" s="38"/>
      <c r="X53" s="38"/>
    </row>
    <row r="54" spans="2:24" x14ac:dyDescent="0.3">
      <c r="R54" s="38"/>
      <c r="S54" s="38"/>
      <c r="T54" s="38"/>
      <c r="U54" s="38"/>
      <c r="V54" s="38"/>
      <c r="W54" s="38"/>
      <c r="X54" s="38"/>
    </row>
    <row r="55" spans="2:24" x14ac:dyDescent="0.3">
      <c r="R55" s="38" t="str">
        <f>"• El "&amp;ROUND(Nomina_Mensual!I7*100,1)&amp;"% de los pagos de octubre llegó a tiempo ("&amp;IF(Nomina_Mensual!I7&gt;=Nomina_Mensual!I6,"igual o mejor","peor")&amp;" que en septiembre: "&amp;ROUND(Nomina_Mensual!I6*100,1)&amp;"%)."</f>
        <v>• El 99.2% de los pagos de octubre llegó a tiempo (igual o mejor que en septiembre: 98.3%).</v>
      </c>
      <c r="S55" s="38"/>
      <c r="T55" s="38"/>
      <c r="U55" s="38"/>
      <c r="V55" s="38"/>
      <c r="W55" s="38"/>
      <c r="X55" s="38"/>
    </row>
    <row r="56" spans="2:24" x14ac:dyDescent="0.3">
      <c r="R56" s="38"/>
      <c r="S56" s="38"/>
      <c r="T56" s="38"/>
      <c r="U56" s="38"/>
      <c r="V56" s="38"/>
      <c r="W56" s="38"/>
      <c r="X56" s="38"/>
    </row>
    <row r="57" spans="2:24" x14ac:dyDescent="0.3">
      <c r="R57" s="38"/>
      <c r="S57" s="38"/>
      <c r="T57" s="38"/>
      <c r="U57" s="38"/>
      <c r="V57" s="38"/>
      <c r="W57" s="38"/>
      <c r="X57" s="38"/>
    </row>
    <row r="58" spans="2:24" x14ac:dyDescent="0.3">
      <c r="J58" s="39" t="str">
        <f>"R² = "&amp;ROUND(Calculos!B31,2)&amp;"  ·  a mayor rating de desempeño, mayor salario (todos los vigentes)"</f>
        <v>R² = 0.71  ·  a mayor rating de desempeño, mayor salario (todos los vigentes)</v>
      </c>
      <c r="K58" s="39"/>
      <c r="L58" s="39"/>
      <c r="M58" s="39"/>
      <c r="N58" s="39"/>
      <c r="O58" s="39"/>
      <c r="P58" s="39"/>
      <c r="Q58" s="39"/>
      <c r="R58" s="38"/>
      <c r="S58" s="38"/>
      <c r="T58" s="38"/>
      <c r="U58" s="38"/>
      <c r="V58" s="38"/>
      <c r="W58" s="38"/>
      <c r="X58" s="38"/>
    </row>
    <row r="61" spans="2:24" ht="15.6" x14ac:dyDescent="0.3">
      <c r="B61" s="36" t="s">
        <v>13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 spans="2:24" ht="15" customHeight="1" x14ac:dyDescent="0.3">
      <c r="B62" s="40" t="s">
        <v>14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2:24" x14ac:dyDescent="0.3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2:24" x14ac:dyDescent="0.3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spans="2:24" x14ac:dyDescent="0.3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</sheetData>
  <mergeCells count="40">
    <mergeCell ref="B62:X65"/>
    <mergeCell ref="R47:X50"/>
    <mergeCell ref="R51:X54"/>
    <mergeCell ref="R55:X58"/>
    <mergeCell ref="J58:Q58"/>
    <mergeCell ref="B61:X61"/>
    <mergeCell ref="B15:X15"/>
    <mergeCell ref="B37:X37"/>
    <mergeCell ref="R38:X38"/>
    <mergeCell ref="R39:X42"/>
    <mergeCell ref="R43:X46"/>
    <mergeCell ref="V10:X11"/>
    <mergeCell ref="B12:D12"/>
    <mergeCell ref="F12:H12"/>
    <mergeCell ref="J12:L12"/>
    <mergeCell ref="N12:P12"/>
    <mergeCell ref="R12:T12"/>
    <mergeCell ref="V12:X12"/>
    <mergeCell ref="B10:D11"/>
    <mergeCell ref="F10:H11"/>
    <mergeCell ref="J10:L11"/>
    <mergeCell ref="N10:P11"/>
    <mergeCell ref="R10:T11"/>
    <mergeCell ref="V8:X8"/>
    <mergeCell ref="B9:D9"/>
    <mergeCell ref="F9:H9"/>
    <mergeCell ref="J9:L9"/>
    <mergeCell ref="N9:P9"/>
    <mergeCell ref="R9:T9"/>
    <mergeCell ref="V9:X9"/>
    <mergeCell ref="B8:D8"/>
    <mergeCell ref="F8:H8"/>
    <mergeCell ref="J8:L8"/>
    <mergeCell ref="N8:P8"/>
    <mergeCell ref="R8:T8"/>
    <mergeCell ref="B2:X4"/>
    <mergeCell ref="B5:X5"/>
    <mergeCell ref="B6:D6"/>
    <mergeCell ref="E6:G6"/>
    <mergeCell ref="H6:Q6"/>
  </mergeCells>
  <conditionalFormatting sqref="B12">
    <cfRule type="expression" dxfId="11" priority="2">
      <formula>LEFT(B12,1)="▲"</formula>
    </cfRule>
    <cfRule type="expression" dxfId="10" priority="3">
      <formula>LEFT(B12,1)="▼"</formula>
    </cfRule>
  </conditionalFormatting>
  <conditionalFormatting sqref="F12">
    <cfRule type="expression" dxfId="9" priority="4">
      <formula>LEFT(F12,1)="▲"</formula>
    </cfRule>
    <cfRule type="expression" dxfId="8" priority="5">
      <formula>LEFT(F12,1)="▼"</formula>
    </cfRule>
  </conditionalFormatting>
  <conditionalFormatting sqref="J12">
    <cfRule type="expression" dxfId="7" priority="6">
      <formula>LEFT(J12,1)="▲"</formula>
    </cfRule>
    <cfRule type="expression" dxfId="6" priority="7">
      <formula>LEFT(J12,1)="▼"</formula>
    </cfRule>
  </conditionalFormatting>
  <conditionalFormatting sqref="N12">
    <cfRule type="expression" dxfId="5" priority="8">
      <formula>LEFT(N12,1)="▲"</formula>
    </cfRule>
    <cfRule type="expression" dxfId="4" priority="9">
      <formula>LEFT(N12,1)="▼"</formula>
    </cfRule>
  </conditionalFormatting>
  <conditionalFormatting sqref="R12">
    <cfRule type="expression" dxfId="3" priority="10">
      <formula>LEFT(R12,1)="▲"</formula>
    </cfRule>
    <cfRule type="expression" dxfId="2" priority="11">
      <formula>LEFT(R12,1)="▼"</formula>
    </cfRule>
  </conditionalFormatting>
  <conditionalFormatting sqref="V12">
    <cfRule type="expression" dxfId="1" priority="12">
      <formula>LEFT(V12,1)="▲"</formula>
    </cfRule>
    <cfRule type="expression" dxfId="0" priority="13">
      <formula>LEFT(V12,1)="▼"</formula>
    </cfRule>
  </conditionalFormatting>
  <dataValidations count="1">
    <dataValidation type="list" errorTitle="Departamento no válido" error="Elige un valor de la lista." promptTitle="Filtro" prompt="Elige Todos o un departamento." sqref="E6" xr:uid="{00000000-0002-0000-0000-000000000000}">
      <formula1>"Todos,IT,RRHH,Finanzas,Ventas,Operaciones"</formula1>
      <formula2>0</formula2>
    </dataValidation>
  </dataValidation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5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ColWidth="8.6640625" defaultRowHeight="14.4" x14ac:dyDescent="0.3"/>
  <cols>
    <col min="1" max="1" width="12" customWidth="1"/>
    <col min="2" max="2" width="22" customWidth="1"/>
    <col min="3" max="3" width="14" customWidth="1"/>
    <col min="4" max="4" width="24" customWidth="1"/>
    <col min="5" max="5" width="13" customWidth="1"/>
    <col min="6" max="6" width="15" customWidth="1"/>
    <col min="7" max="7" width="14" customWidth="1"/>
    <col min="8" max="8" width="11" customWidth="1"/>
    <col min="9" max="9" width="16" customWidth="1"/>
    <col min="10" max="10" width="13" customWidth="1"/>
  </cols>
  <sheetData>
    <row r="1" spans="1:10" ht="31.5" customHeight="1" x14ac:dyDescent="0.3">
      <c r="A1" s="15" t="s">
        <v>15</v>
      </c>
      <c r="B1" s="15" t="s">
        <v>16</v>
      </c>
      <c r="C1" s="15" t="s">
        <v>17</v>
      </c>
      <c r="D1" s="15" t="s">
        <v>18</v>
      </c>
      <c r="E1" s="15" t="s">
        <v>19</v>
      </c>
      <c r="F1" s="15" t="s">
        <v>20</v>
      </c>
      <c r="G1" s="15" t="s">
        <v>21</v>
      </c>
      <c r="H1" s="15" t="s">
        <v>22</v>
      </c>
      <c r="I1" s="15" t="s">
        <v>23</v>
      </c>
      <c r="J1" s="15" t="s">
        <v>24</v>
      </c>
    </row>
    <row r="2" spans="1:10" x14ac:dyDescent="0.3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7">
        <v>3760</v>
      </c>
      <c r="G2" s="18">
        <v>44609</v>
      </c>
      <c r="H2" s="16" t="s">
        <v>30</v>
      </c>
      <c r="I2" s="16">
        <v>4.5</v>
      </c>
      <c r="J2" s="18"/>
    </row>
    <row r="3" spans="1:10" x14ac:dyDescent="0.3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7">
        <v>3010</v>
      </c>
      <c r="G3" s="18">
        <v>44687</v>
      </c>
      <c r="H3" s="16" t="s">
        <v>30</v>
      </c>
      <c r="I3" s="16">
        <v>3.5</v>
      </c>
      <c r="J3" s="18"/>
    </row>
    <row r="4" spans="1:10" x14ac:dyDescent="0.3">
      <c r="A4" s="16" t="s">
        <v>36</v>
      </c>
      <c r="B4" s="16" t="s">
        <v>37</v>
      </c>
      <c r="C4" s="16" t="s">
        <v>38</v>
      </c>
      <c r="D4" s="16" t="s">
        <v>39</v>
      </c>
      <c r="E4" s="16" t="s">
        <v>40</v>
      </c>
      <c r="F4" s="17">
        <v>3270</v>
      </c>
      <c r="G4" s="18">
        <v>44768</v>
      </c>
      <c r="H4" s="16" t="s">
        <v>41</v>
      </c>
      <c r="I4" s="16">
        <v>2.9</v>
      </c>
      <c r="J4" s="18"/>
    </row>
    <row r="5" spans="1:10" x14ac:dyDescent="0.3">
      <c r="A5" s="16" t="s">
        <v>42</v>
      </c>
      <c r="B5" s="16" t="s">
        <v>43</v>
      </c>
      <c r="C5" s="16" t="s">
        <v>27</v>
      </c>
      <c r="D5" s="16" t="s">
        <v>44</v>
      </c>
      <c r="E5" s="16" t="s">
        <v>40</v>
      </c>
      <c r="F5" s="17">
        <v>3550</v>
      </c>
      <c r="G5" s="18">
        <v>44886</v>
      </c>
      <c r="H5" s="16" t="s">
        <v>30</v>
      </c>
      <c r="I5" s="16">
        <v>3.8</v>
      </c>
      <c r="J5" s="18"/>
    </row>
    <row r="6" spans="1:10" x14ac:dyDescent="0.3">
      <c r="A6" s="16" t="s">
        <v>45</v>
      </c>
      <c r="B6" s="16" t="s">
        <v>46</v>
      </c>
      <c r="C6" s="16" t="s">
        <v>38</v>
      </c>
      <c r="D6" s="16" t="s">
        <v>47</v>
      </c>
      <c r="E6" s="16" t="s">
        <v>29</v>
      </c>
      <c r="F6" s="17">
        <v>3130</v>
      </c>
      <c r="G6" s="18">
        <v>44907</v>
      </c>
      <c r="H6" s="16" t="s">
        <v>30</v>
      </c>
      <c r="I6" s="16">
        <v>3</v>
      </c>
      <c r="J6" s="18"/>
    </row>
    <row r="7" spans="1:10" x14ac:dyDescent="0.3">
      <c r="A7" s="16" t="s">
        <v>48</v>
      </c>
      <c r="B7" s="16" t="s">
        <v>49</v>
      </c>
      <c r="C7" s="16" t="s">
        <v>38</v>
      </c>
      <c r="D7" s="16" t="s">
        <v>50</v>
      </c>
      <c r="E7" s="16" t="s">
        <v>40</v>
      </c>
      <c r="F7" s="17">
        <v>4100</v>
      </c>
      <c r="G7" s="18">
        <v>44910</v>
      </c>
      <c r="H7" s="16" t="s">
        <v>30</v>
      </c>
      <c r="I7" s="16">
        <v>4</v>
      </c>
      <c r="J7" s="18"/>
    </row>
    <row r="8" spans="1:10" x14ac:dyDescent="0.3">
      <c r="A8" s="16" t="s">
        <v>51</v>
      </c>
      <c r="B8" s="16" t="s">
        <v>52</v>
      </c>
      <c r="C8" s="16" t="s">
        <v>38</v>
      </c>
      <c r="D8" s="16" t="s">
        <v>50</v>
      </c>
      <c r="E8" s="16" t="s">
        <v>40</v>
      </c>
      <c r="F8" s="17">
        <v>4840</v>
      </c>
      <c r="G8" s="18">
        <v>44968</v>
      </c>
      <c r="H8" s="16" t="s">
        <v>30</v>
      </c>
      <c r="I8" s="16">
        <v>4.8</v>
      </c>
      <c r="J8" s="18"/>
    </row>
    <row r="9" spans="1:10" x14ac:dyDescent="0.3">
      <c r="A9" s="16" t="s">
        <v>53</v>
      </c>
      <c r="B9" s="16" t="s">
        <v>54</v>
      </c>
      <c r="C9" s="16" t="s">
        <v>38</v>
      </c>
      <c r="D9" s="16" t="s">
        <v>39</v>
      </c>
      <c r="E9" s="16" t="s">
        <v>40</v>
      </c>
      <c r="F9" s="17">
        <v>3760</v>
      </c>
      <c r="G9" s="18">
        <v>44971</v>
      </c>
      <c r="H9" s="16" t="s">
        <v>30</v>
      </c>
      <c r="I9" s="16">
        <v>3.5</v>
      </c>
      <c r="J9" s="18"/>
    </row>
    <row r="10" spans="1:10" x14ac:dyDescent="0.3">
      <c r="A10" s="16" t="s">
        <v>55</v>
      </c>
      <c r="B10" s="16" t="s">
        <v>56</v>
      </c>
      <c r="C10" s="16" t="s">
        <v>33</v>
      </c>
      <c r="D10" s="16" t="s">
        <v>34</v>
      </c>
      <c r="E10" s="16" t="s">
        <v>35</v>
      </c>
      <c r="F10" s="17">
        <v>2720</v>
      </c>
      <c r="G10" s="18">
        <v>44974</v>
      </c>
      <c r="H10" s="16" t="s">
        <v>30</v>
      </c>
      <c r="I10" s="16">
        <v>3.3</v>
      </c>
      <c r="J10" s="18"/>
    </row>
    <row r="11" spans="1:10" x14ac:dyDescent="0.3">
      <c r="A11" s="16" t="s">
        <v>57</v>
      </c>
      <c r="B11" s="16" t="s">
        <v>58</v>
      </c>
      <c r="C11" s="16" t="s">
        <v>38</v>
      </c>
      <c r="D11" s="16" t="s">
        <v>39</v>
      </c>
      <c r="E11" s="16" t="s">
        <v>40</v>
      </c>
      <c r="F11" s="17">
        <v>3390</v>
      </c>
      <c r="G11" s="18">
        <v>44984</v>
      </c>
      <c r="H11" s="16" t="s">
        <v>30</v>
      </c>
      <c r="I11" s="16">
        <v>3.1</v>
      </c>
      <c r="J11" s="18"/>
    </row>
    <row r="12" spans="1:10" x14ac:dyDescent="0.3">
      <c r="A12" s="16" t="s">
        <v>59</v>
      </c>
      <c r="B12" s="16" t="s">
        <v>60</v>
      </c>
      <c r="C12" s="16" t="s">
        <v>38</v>
      </c>
      <c r="D12" s="16" t="s">
        <v>61</v>
      </c>
      <c r="E12" s="16" t="s">
        <v>62</v>
      </c>
      <c r="F12" s="17">
        <v>3480</v>
      </c>
      <c r="G12" s="18">
        <v>44994</v>
      </c>
      <c r="H12" s="16" t="s">
        <v>30</v>
      </c>
      <c r="I12" s="16">
        <v>3.8</v>
      </c>
      <c r="J12" s="18"/>
    </row>
    <row r="13" spans="1:10" x14ac:dyDescent="0.3">
      <c r="A13" s="16" t="s">
        <v>63</v>
      </c>
      <c r="B13" s="16" t="s">
        <v>64</v>
      </c>
      <c r="C13" s="16" t="s">
        <v>65</v>
      </c>
      <c r="D13" s="16" t="s">
        <v>66</v>
      </c>
      <c r="E13" s="16" t="s">
        <v>29</v>
      </c>
      <c r="F13" s="17">
        <v>2990</v>
      </c>
      <c r="G13" s="18">
        <v>45032</v>
      </c>
      <c r="H13" s="16" t="s">
        <v>30</v>
      </c>
      <c r="I13" s="16">
        <v>3.2</v>
      </c>
      <c r="J13" s="18"/>
    </row>
    <row r="14" spans="1:10" x14ac:dyDescent="0.3">
      <c r="A14" s="16" t="s">
        <v>67</v>
      </c>
      <c r="B14" s="16" t="s">
        <v>68</v>
      </c>
      <c r="C14" s="16" t="s">
        <v>33</v>
      </c>
      <c r="D14" s="16" t="s">
        <v>69</v>
      </c>
      <c r="E14" s="16" t="s">
        <v>35</v>
      </c>
      <c r="F14" s="17">
        <v>3430</v>
      </c>
      <c r="G14" s="18">
        <v>45033</v>
      </c>
      <c r="H14" s="16" t="s">
        <v>30</v>
      </c>
      <c r="I14" s="16">
        <v>4.0999999999999996</v>
      </c>
      <c r="J14" s="18"/>
    </row>
    <row r="15" spans="1:10" x14ac:dyDescent="0.3">
      <c r="A15" s="16" t="s">
        <v>70</v>
      </c>
      <c r="B15" s="16" t="s">
        <v>71</v>
      </c>
      <c r="C15" s="16" t="s">
        <v>27</v>
      </c>
      <c r="D15" s="16" t="s">
        <v>72</v>
      </c>
      <c r="E15" s="16" t="s">
        <v>62</v>
      </c>
      <c r="F15" s="17">
        <v>2110</v>
      </c>
      <c r="G15" s="18">
        <v>45053</v>
      </c>
      <c r="H15" s="16" t="s">
        <v>30</v>
      </c>
      <c r="I15" s="16">
        <v>2.5</v>
      </c>
      <c r="J15" s="18"/>
    </row>
    <row r="16" spans="1:10" x14ac:dyDescent="0.3">
      <c r="A16" s="16" t="s">
        <v>73</v>
      </c>
      <c r="B16" s="16" t="s">
        <v>74</v>
      </c>
      <c r="C16" s="16" t="s">
        <v>65</v>
      </c>
      <c r="D16" s="16" t="s">
        <v>75</v>
      </c>
      <c r="E16" s="16" t="s">
        <v>62</v>
      </c>
      <c r="F16" s="17">
        <v>3720</v>
      </c>
      <c r="G16" s="18">
        <v>45058</v>
      </c>
      <c r="H16" s="16" t="s">
        <v>30</v>
      </c>
      <c r="I16" s="16">
        <v>4.5</v>
      </c>
      <c r="J16" s="18"/>
    </row>
    <row r="17" spans="1:10" x14ac:dyDescent="0.3">
      <c r="A17" s="16" t="s">
        <v>76</v>
      </c>
      <c r="B17" s="16" t="s">
        <v>77</v>
      </c>
      <c r="C17" s="16" t="s">
        <v>38</v>
      </c>
      <c r="D17" s="16" t="s">
        <v>78</v>
      </c>
      <c r="E17" s="16" t="s">
        <v>29</v>
      </c>
      <c r="F17" s="17">
        <v>4760</v>
      </c>
      <c r="G17" s="18">
        <v>45065</v>
      </c>
      <c r="H17" s="16" t="s">
        <v>30</v>
      </c>
      <c r="I17" s="16">
        <v>5</v>
      </c>
      <c r="J17" s="18"/>
    </row>
    <row r="18" spans="1:10" x14ac:dyDescent="0.3">
      <c r="A18" s="16" t="s">
        <v>79</v>
      </c>
      <c r="B18" s="16" t="s">
        <v>80</v>
      </c>
      <c r="C18" s="16" t="s">
        <v>38</v>
      </c>
      <c r="D18" s="16" t="s">
        <v>47</v>
      </c>
      <c r="E18" s="16" t="s">
        <v>29</v>
      </c>
      <c r="F18" s="17">
        <v>4530</v>
      </c>
      <c r="G18" s="18">
        <v>45079</v>
      </c>
      <c r="H18" s="16" t="s">
        <v>30</v>
      </c>
      <c r="I18" s="16">
        <v>4.7</v>
      </c>
      <c r="J18" s="18"/>
    </row>
    <row r="19" spans="1:10" x14ac:dyDescent="0.3">
      <c r="A19" s="16" t="s">
        <v>81</v>
      </c>
      <c r="B19" s="16" t="s">
        <v>82</v>
      </c>
      <c r="C19" s="16" t="s">
        <v>27</v>
      </c>
      <c r="D19" s="16" t="s">
        <v>72</v>
      </c>
      <c r="E19" s="16" t="s">
        <v>62</v>
      </c>
      <c r="F19" s="17">
        <v>3120</v>
      </c>
      <c r="G19" s="18">
        <v>45092</v>
      </c>
      <c r="H19" s="16" t="s">
        <v>30</v>
      </c>
      <c r="I19" s="16">
        <v>3.9</v>
      </c>
      <c r="J19" s="18"/>
    </row>
    <row r="20" spans="1:10" x14ac:dyDescent="0.3">
      <c r="A20" s="16" t="s">
        <v>83</v>
      </c>
      <c r="B20" s="16" t="s">
        <v>84</v>
      </c>
      <c r="C20" s="16" t="s">
        <v>38</v>
      </c>
      <c r="D20" s="16" t="s">
        <v>78</v>
      </c>
      <c r="E20" s="16" t="s">
        <v>29</v>
      </c>
      <c r="F20" s="17">
        <v>2810</v>
      </c>
      <c r="G20" s="18">
        <v>45104</v>
      </c>
      <c r="H20" s="16" t="s">
        <v>30</v>
      </c>
      <c r="I20" s="16">
        <v>2.7</v>
      </c>
      <c r="J20" s="18"/>
    </row>
    <row r="21" spans="1:10" x14ac:dyDescent="0.3">
      <c r="A21" s="16" t="s">
        <v>85</v>
      </c>
      <c r="B21" s="16" t="s">
        <v>86</v>
      </c>
      <c r="C21" s="16" t="s">
        <v>27</v>
      </c>
      <c r="D21" s="16" t="s">
        <v>28</v>
      </c>
      <c r="E21" s="16" t="s">
        <v>29</v>
      </c>
      <c r="F21" s="17">
        <v>3430</v>
      </c>
      <c r="G21" s="18">
        <v>45110</v>
      </c>
      <c r="H21" s="16" t="s">
        <v>30</v>
      </c>
      <c r="I21" s="16">
        <v>4.0999999999999996</v>
      </c>
      <c r="J21" s="18"/>
    </row>
    <row r="22" spans="1:10" x14ac:dyDescent="0.3">
      <c r="A22" s="16" t="s">
        <v>87</v>
      </c>
      <c r="B22" s="16" t="s">
        <v>88</v>
      </c>
      <c r="C22" s="16" t="s">
        <v>38</v>
      </c>
      <c r="D22" s="16" t="s">
        <v>61</v>
      </c>
      <c r="E22" s="16" t="s">
        <v>62</v>
      </c>
      <c r="F22" s="17">
        <v>3540</v>
      </c>
      <c r="G22" s="18">
        <v>45127</v>
      </c>
      <c r="H22" s="16" t="s">
        <v>30</v>
      </c>
      <c r="I22" s="16">
        <v>3.8</v>
      </c>
      <c r="J22" s="18"/>
    </row>
    <row r="23" spans="1:10" x14ac:dyDescent="0.3">
      <c r="A23" s="16" t="s">
        <v>89</v>
      </c>
      <c r="B23" s="16" t="s">
        <v>90</v>
      </c>
      <c r="C23" s="16" t="s">
        <v>65</v>
      </c>
      <c r="D23" s="16" t="s">
        <v>91</v>
      </c>
      <c r="E23" s="16" t="s">
        <v>35</v>
      </c>
      <c r="F23" s="17">
        <v>3180</v>
      </c>
      <c r="G23" s="18">
        <v>45132</v>
      </c>
      <c r="H23" s="16" t="s">
        <v>30</v>
      </c>
      <c r="I23" s="16">
        <v>3.4</v>
      </c>
      <c r="J23" s="18"/>
    </row>
    <row r="24" spans="1:10" x14ac:dyDescent="0.3">
      <c r="A24" s="16" t="s">
        <v>92</v>
      </c>
      <c r="B24" s="16" t="s">
        <v>93</v>
      </c>
      <c r="C24" s="16" t="s">
        <v>33</v>
      </c>
      <c r="D24" s="16" t="s">
        <v>69</v>
      </c>
      <c r="E24" s="16" t="s">
        <v>35</v>
      </c>
      <c r="F24" s="17">
        <v>2830</v>
      </c>
      <c r="G24" s="18">
        <v>45146</v>
      </c>
      <c r="H24" s="16" t="s">
        <v>30</v>
      </c>
      <c r="I24" s="16">
        <v>3.2</v>
      </c>
      <c r="J24" s="18"/>
    </row>
    <row r="25" spans="1:10" x14ac:dyDescent="0.3">
      <c r="A25" s="16" t="s">
        <v>94</v>
      </c>
      <c r="B25" s="16" t="s">
        <v>95</v>
      </c>
      <c r="C25" s="16" t="s">
        <v>33</v>
      </c>
      <c r="D25" s="16" t="s">
        <v>34</v>
      </c>
      <c r="E25" s="16" t="s">
        <v>35</v>
      </c>
      <c r="F25" s="17">
        <v>2120</v>
      </c>
      <c r="G25" s="18">
        <v>45149</v>
      </c>
      <c r="H25" s="16" t="s">
        <v>30</v>
      </c>
      <c r="I25" s="16">
        <v>2.5</v>
      </c>
      <c r="J25" s="18"/>
    </row>
    <row r="26" spans="1:10" x14ac:dyDescent="0.3">
      <c r="A26" s="16" t="s">
        <v>96</v>
      </c>
      <c r="B26" s="16" t="s">
        <v>97</v>
      </c>
      <c r="C26" s="16" t="s">
        <v>98</v>
      </c>
      <c r="D26" s="16" t="s">
        <v>99</v>
      </c>
      <c r="E26" s="16" t="s">
        <v>40</v>
      </c>
      <c r="F26" s="17">
        <v>3680</v>
      </c>
      <c r="G26" s="18">
        <v>45180</v>
      </c>
      <c r="H26" s="16" t="s">
        <v>30</v>
      </c>
      <c r="I26" s="16">
        <v>3.8</v>
      </c>
      <c r="J26" s="18"/>
    </row>
    <row r="27" spans="1:10" x14ac:dyDescent="0.3">
      <c r="A27" s="16" t="s">
        <v>100</v>
      </c>
      <c r="B27" s="16" t="s">
        <v>101</v>
      </c>
      <c r="C27" s="16" t="s">
        <v>27</v>
      </c>
      <c r="D27" s="16" t="s">
        <v>44</v>
      </c>
      <c r="E27" s="16" t="s">
        <v>40</v>
      </c>
      <c r="F27" s="17">
        <v>3560</v>
      </c>
      <c r="G27" s="18">
        <v>45219</v>
      </c>
      <c r="H27" s="16" t="s">
        <v>30</v>
      </c>
      <c r="I27" s="16">
        <v>3.9</v>
      </c>
      <c r="J27" s="18"/>
    </row>
    <row r="28" spans="1:10" x14ac:dyDescent="0.3">
      <c r="A28" s="16" t="s">
        <v>102</v>
      </c>
      <c r="B28" s="16" t="s">
        <v>103</v>
      </c>
      <c r="C28" s="16" t="s">
        <v>65</v>
      </c>
      <c r="D28" s="16" t="s">
        <v>75</v>
      </c>
      <c r="E28" s="16" t="s">
        <v>62</v>
      </c>
      <c r="F28" s="17">
        <v>2870</v>
      </c>
      <c r="G28" s="18">
        <v>45240</v>
      </c>
      <c r="H28" s="16" t="s">
        <v>30</v>
      </c>
      <c r="I28" s="16">
        <v>3.5</v>
      </c>
      <c r="J28" s="18"/>
    </row>
    <row r="29" spans="1:10" x14ac:dyDescent="0.3">
      <c r="A29" s="16" t="s">
        <v>104</v>
      </c>
      <c r="B29" s="16" t="s">
        <v>105</v>
      </c>
      <c r="C29" s="16" t="s">
        <v>38</v>
      </c>
      <c r="D29" s="16" t="s">
        <v>78</v>
      </c>
      <c r="E29" s="16" t="s">
        <v>29</v>
      </c>
      <c r="F29" s="17">
        <v>3470</v>
      </c>
      <c r="G29" s="18">
        <v>45245</v>
      </c>
      <c r="H29" s="16" t="s">
        <v>30</v>
      </c>
      <c r="I29" s="16">
        <v>3.6</v>
      </c>
      <c r="J29" s="18"/>
    </row>
    <row r="30" spans="1:10" x14ac:dyDescent="0.3">
      <c r="A30" s="16" t="s">
        <v>106</v>
      </c>
      <c r="B30" s="16" t="s">
        <v>107</v>
      </c>
      <c r="C30" s="16" t="s">
        <v>65</v>
      </c>
      <c r="D30" s="16" t="s">
        <v>91</v>
      </c>
      <c r="E30" s="16" t="s">
        <v>35</v>
      </c>
      <c r="F30" s="17">
        <v>3140</v>
      </c>
      <c r="G30" s="18">
        <v>45257</v>
      </c>
      <c r="H30" s="16" t="s">
        <v>30</v>
      </c>
      <c r="I30" s="16">
        <v>3.5</v>
      </c>
      <c r="J30" s="18"/>
    </row>
    <row r="31" spans="1:10" x14ac:dyDescent="0.3">
      <c r="A31" s="16" t="s">
        <v>108</v>
      </c>
      <c r="B31" s="16" t="s">
        <v>109</v>
      </c>
      <c r="C31" s="16" t="s">
        <v>38</v>
      </c>
      <c r="D31" s="16" t="s">
        <v>78</v>
      </c>
      <c r="E31" s="16" t="s">
        <v>29</v>
      </c>
      <c r="F31" s="17">
        <v>3880</v>
      </c>
      <c r="G31" s="18">
        <v>45262</v>
      </c>
      <c r="H31" s="16" t="s">
        <v>30</v>
      </c>
      <c r="I31" s="16">
        <v>3.9</v>
      </c>
      <c r="J31" s="18"/>
    </row>
    <row r="32" spans="1:10" x14ac:dyDescent="0.3">
      <c r="A32" s="16" t="s">
        <v>110</v>
      </c>
      <c r="B32" s="16" t="s">
        <v>111</v>
      </c>
      <c r="C32" s="16" t="s">
        <v>65</v>
      </c>
      <c r="D32" s="16" t="s">
        <v>75</v>
      </c>
      <c r="E32" s="16" t="s">
        <v>62</v>
      </c>
      <c r="F32" s="17">
        <v>2640</v>
      </c>
      <c r="G32" s="18">
        <v>45274</v>
      </c>
      <c r="H32" s="16" t="s">
        <v>30</v>
      </c>
      <c r="I32" s="16">
        <v>3.2</v>
      </c>
      <c r="J32" s="18"/>
    </row>
    <row r="33" spans="1:10" x14ac:dyDescent="0.3">
      <c r="A33" s="16" t="s">
        <v>112</v>
      </c>
      <c r="B33" s="16" t="s">
        <v>113</v>
      </c>
      <c r="C33" s="16" t="s">
        <v>65</v>
      </c>
      <c r="D33" s="16" t="s">
        <v>91</v>
      </c>
      <c r="E33" s="16" t="s">
        <v>35</v>
      </c>
      <c r="F33" s="17">
        <v>3510</v>
      </c>
      <c r="G33" s="18">
        <v>45279</v>
      </c>
      <c r="H33" s="16" t="s">
        <v>30</v>
      </c>
      <c r="I33" s="16">
        <v>3.8</v>
      </c>
      <c r="J33" s="18"/>
    </row>
    <row r="34" spans="1:10" x14ac:dyDescent="0.3">
      <c r="A34" s="16" t="s">
        <v>114</v>
      </c>
      <c r="B34" s="16" t="s">
        <v>115</v>
      </c>
      <c r="C34" s="16" t="s">
        <v>27</v>
      </c>
      <c r="D34" s="16" t="s">
        <v>44</v>
      </c>
      <c r="E34" s="16" t="s">
        <v>40</v>
      </c>
      <c r="F34" s="17">
        <v>3270</v>
      </c>
      <c r="G34" s="18">
        <v>45292</v>
      </c>
      <c r="H34" s="16" t="s">
        <v>30</v>
      </c>
      <c r="I34" s="16">
        <v>3.6</v>
      </c>
      <c r="J34" s="18"/>
    </row>
    <row r="35" spans="1:10" x14ac:dyDescent="0.3">
      <c r="A35" s="16" t="s">
        <v>116</v>
      </c>
      <c r="B35" s="16" t="s">
        <v>117</v>
      </c>
      <c r="C35" s="16" t="s">
        <v>38</v>
      </c>
      <c r="D35" s="16" t="s">
        <v>78</v>
      </c>
      <c r="E35" s="16" t="s">
        <v>29</v>
      </c>
      <c r="F35" s="17">
        <v>4390</v>
      </c>
      <c r="G35" s="18">
        <v>45315</v>
      </c>
      <c r="H35" s="16" t="s">
        <v>30</v>
      </c>
      <c r="I35" s="16">
        <v>4.5999999999999996</v>
      </c>
      <c r="J35" s="18"/>
    </row>
    <row r="36" spans="1:10" x14ac:dyDescent="0.3">
      <c r="A36" s="16" t="s">
        <v>118</v>
      </c>
      <c r="B36" s="16" t="s">
        <v>119</v>
      </c>
      <c r="C36" s="16" t="s">
        <v>98</v>
      </c>
      <c r="D36" s="16" t="s">
        <v>99</v>
      </c>
      <c r="E36" s="16" t="s">
        <v>40</v>
      </c>
      <c r="F36" s="17">
        <v>3680</v>
      </c>
      <c r="G36" s="18">
        <v>45319</v>
      </c>
      <c r="H36" s="16" t="s">
        <v>41</v>
      </c>
      <c r="I36" s="16">
        <v>3.7</v>
      </c>
      <c r="J36" s="18"/>
    </row>
    <row r="37" spans="1:10" x14ac:dyDescent="0.3">
      <c r="A37" s="16" t="s">
        <v>120</v>
      </c>
      <c r="B37" s="16" t="s">
        <v>121</v>
      </c>
      <c r="C37" s="16" t="s">
        <v>33</v>
      </c>
      <c r="D37" s="16" t="s">
        <v>69</v>
      </c>
      <c r="E37" s="16" t="s">
        <v>35</v>
      </c>
      <c r="F37" s="17">
        <v>2860</v>
      </c>
      <c r="G37" s="18">
        <v>45336</v>
      </c>
      <c r="H37" s="16" t="s">
        <v>30</v>
      </c>
      <c r="I37" s="16">
        <v>3.4</v>
      </c>
      <c r="J37" s="18"/>
    </row>
    <row r="38" spans="1:10" x14ac:dyDescent="0.3">
      <c r="A38" s="16" t="s">
        <v>122</v>
      </c>
      <c r="B38" s="16" t="s">
        <v>123</v>
      </c>
      <c r="C38" s="16" t="s">
        <v>98</v>
      </c>
      <c r="D38" s="16" t="s">
        <v>99</v>
      </c>
      <c r="E38" s="16" t="s">
        <v>40</v>
      </c>
      <c r="F38" s="17">
        <v>3870</v>
      </c>
      <c r="G38" s="18">
        <v>45370</v>
      </c>
      <c r="H38" s="16" t="s">
        <v>30</v>
      </c>
      <c r="I38" s="16">
        <v>3.9</v>
      </c>
      <c r="J38" s="18"/>
    </row>
    <row r="39" spans="1:10" x14ac:dyDescent="0.3">
      <c r="A39" s="16" t="s">
        <v>124</v>
      </c>
      <c r="B39" s="16" t="s">
        <v>125</v>
      </c>
      <c r="C39" s="16" t="s">
        <v>98</v>
      </c>
      <c r="D39" s="16" t="s">
        <v>126</v>
      </c>
      <c r="E39" s="16" t="s">
        <v>35</v>
      </c>
      <c r="F39" s="17">
        <v>2560</v>
      </c>
      <c r="G39" s="18">
        <v>45370</v>
      </c>
      <c r="H39" s="16" t="s">
        <v>30</v>
      </c>
      <c r="I39" s="16">
        <v>2.5</v>
      </c>
      <c r="J39" s="18"/>
    </row>
    <row r="40" spans="1:10" x14ac:dyDescent="0.3">
      <c r="A40" s="16" t="s">
        <v>127</v>
      </c>
      <c r="B40" s="16" t="s">
        <v>128</v>
      </c>
      <c r="C40" s="16" t="s">
        <v>38</v>
      </c>
      <c r="D40" s="16" t="s">
        <v>47</v>
      </c>
      <c r="E40" s="16" t="s">
        <v>29</v>
      </c>
      <c r="F40" s="17">
        <v>4050</v>
      </c>
      <c r="G40" s="18">
        <v>45402</v>
      </c>
      <c r="H40" s="16" t="s">
        <v>30</v>
      </c>
      <c r="I40" s="16">
        <v>4.2</v>
      </c>
      <c r="J40" s="18"/>
    </row>
    <row r="41" spans="1:10" x14ac:dyDescent="0.3">
      <c r="A41" s="16" t="s">
        <v>129</v>
      </c>
      <c r="B41" s="16" t="s">
        <v>130</v>
      </c>
      <c r="C41" s="16" t="s">
        <v>33</v>
      </c>
      <c r="D41" s="16" t="s">
        <v>131</v>
      </c>
      <c r="E41" s="16" t="s">
        <v>29</v>
      </c>
      <c r="F41" s="17">
        <v>2970</v>
      </c>
      <c r="G41" s="18">
        <v>45413</v>
      </c>
      <c r="H41" s="16" t="s">
        <v>30</v>
      </c>
      <c r="I41" s="16">
        <v>3.6</v>
      </c>
      <c r="J41" s="18"/>
    </row>
    <row r="42" spans="1:10" x14ac:dyDescent="0.3">
      <c r="A42" s="16" t="s">
        <v>132</v>
      </c>
      <c r="B42" s="16" t="s">
        <v>133</v>
      </c>
      <c r="C42" s="16" t="s">
        <v>38</v>
      </c>
      <c r="D42" s="16" t="s">
        <v>61</v>
      </c>
      <c r="E42" s="16" t="s">
        <v>62</v>
      </c>
      <c r="F42" s="17">
        <v>2420</v>
      </c>
      <c r="G42" s="18">
        <v>45419</v>
      </c>
      <c r="H42" s="16" t="s">
        <v>30</v>
      </c>
      <c r="I42" s="16">
        <v>2.6</v>
      </c>
      <c r="J42" s="18"/>
    </row>
    <row r="43" spans="1:10" x14ac:dyDescent="0.3">
      <c r="A43" s="16" t="s">
        <v>134</v>
      </c>
      <c r="B43" s="16" t="s">
        <v>135</v>
      </c>
      <c r="C43" s="16" t="s">
        <v>38</v>
      </c>
      <c r="D43" s="16" t="s">
        <v>47</v>
      </c>
      <c r="E43" s="16" t="s">
        <v>29</v>
      </c>
      <c r="F43" s="17">
        <v>3590</v>
      </c>
      <c r="G43" s="18">
        <v>45420</v>
      </c>
      <c r="H43" s="16" t="s">
        <v>30</v>
      </c>
      <c r="I43" s="16">
        <v>3.6</v>
      </c>
      <c r="J43" s="18"/>
    </row>
    <row r="44" spans="1:10" x14ac:dyDescent="0.3">
      <c r="A44" s="16" t="s">
        <v>136</v>
      </c>
      <c r="B44" s="16" t="s">
        <v>137</v>
      </c>
      <c r="C44" s="16" t="s">
        <v>65</v>
      </c>
      <c r="D44" s="16" t="s">
        <v>75</v>
      </c>
      <c r="E44" s="16" t="s">
        <v>62</v>
      </c>
      <c r="F44" s="17">
        <v>3250</v>
      </c>
      <c r="G44" s="18">
        <v>45424</v>
      </c>
      <c r="H44" s="16" t="s">
        <v>30</v>
      </c>
      <c r="I44" s="16">
        <v>3.9</v>
      </c>
      <c r="J44" s="18"/>
    </row>
    <row r="45" spans="1:10" x14ac:dyDescent="0.3">
      <c r="A45" s="16" t="s">
        <v>138</v>
      </c>
      <c r="B45" s="16" t="s">
        <v>139</v>
      </c>
      <c r="C45" s="16" t="s">
        <v>65</v>
      </c>
      <c r="D45" s="16" t="s">
        <v>91</v>
      </c>
      <c r="E45" s="16" t="s">
        <v>35</v>
      </c>
      <c r="F45" s="17">
        <v>3360</v>
      </c>
      <c r="G45" s="18">
        <v>45424</v>
      </c>
      <c r="H45" s="16" t="s">
        <v>30</v>
      </c>
      <c r="I45" s="16">
        <v>3.7</v>
      </c>
      <c r="J45" s="18"/>
    </row>
    <row r="46" spans="1:10" x14ac:dyDescent="0.3">
      <c r="A46" s="16" t="s">
        <v>140</v>
      </c>
      <c r="B46" s="16" t="s">
        <v>141</v>
      </c>
      <c r="C46" s="16" t="s">
        <v>98</v>
      </c>
      <c r="D46" s="16" t="s">
        <v>142</v>
      </c>
      <c r="E46" s="16" t="s">
        <v>29</v>
      </c>
      <c r="F46" s="17">
        <v>3160</v>
      </c>
      <c r="G46" s="18">
        <v>45427</v>
      </c>
      <c r="H46" s="16" t="s">
        <v>30</v>
      </c>
      <c r="I46" s="16">
        <v>3.5</v>
      </c>
      <c r="J46" s="18"/>
    </row>
    <row r="47" spans="1:10" x14ac:dyDescent="0.3">
      <c r="A47" s="16" t="s">
        <v>143</v>
      </c>
      <c r="B47" s="16" t="s">
        <v>144</v>
      </c>
      <c r="C47" s="16" t="s">
        <v>38</v>
      </c>
      <c r="D47" s="16" t="s">
        <v>39</v>
      </c>
      <c r="E47" s="16" t="s">
        <v>40</v>
      </c>
      <c r="F47" s="17">
        <v>4130</v>
      </c>
      <c r="G47" s="18">
        <v>45436</v>
      </c>
      <c r="H47" s="16" t="s">
        <v>30</v>
      </c>
      <c r="I47" s="16">
        <v>3.9</v>
      </c>
      <c r="J47" s="18"/>
    </row>
    <row r="48" spans="1:10" x14ac:dyDescent="0.3">
      <c r="A48" s="16" t="s">
        <v>145</v>
      </c>
      <c r="B48" s="16" t="s">
        <v>146</v>
      </c>
      <c r="C48" s="16" t="s">
        <v>38</v>
      </c>
      <c r="D48" s="16" t="s">
        <v>39</v>
      </c>
      <c r="E48" s="16" t="s">
        <v>40</v>
      </c>
      <c r="F48" s="17">
        <v>3510</v>
      </c>
      <c r="G48" s="18">
        <v>45444</v>
      </c>
      <c r="H48" s="16" t="s">
        <v>30</v>
      </c>
      <c r="I48" s="16">
        <v>3.3</v>
      </c>
      <c r="J48" s="18"/>
    </row>
    <row r="49" spans="1:10" x14ac:dyDescent="0.3">
      <c r="A49" s="16" t="s">
        <v>147</v>
      </c>
      <c r="B49" s="16" t="s">
        <v>148</v>
      </c>
      <c r="C49" s="16" t="s">
        <v>27</v>
      </c>
      <c r="D49" s="16" t="s">
        <v>72</v>
      </c>
      <c r="E49" s="16" t="s">
        <v>62</v>
      </c>
      <c r="F49" s="17">
        <v>2920</v>
      </c>
      <c r="G49" s="18">
        <v>45487</v>
      </c>
      <c r="H49" s="16" t="s">
        <v>30</v>
      </c>
      <c r="I49" s="16">
        <v>3.4</v>
      </c>
      <c r="J49" s="18"/>
    </row>
    <row r="50" spans="1:10" x14ac:dyDescent="0.3">
      <c r="A50" s="16" t="s">
        <v>149</v>
      </c>
      <c r="B50" s="16" t="s">
        <v>150</v>
      </c>
      <c r="C50" s="16" t="s">
        <v>98</v>
      </c>
      <c r="D50" s="16" t="s">
        <v>126</v>
      </c>
      <c r="E50" s="16" t="s">
        <v>35</v>
      </c>
      <c r="F50" s="17">
        <v>4100</v>
      </c>
      <c r="G50" s="18">
        <v>45500</v>
      </c>
      <c r="H50" s="16" t="s">
        <v>30</v>
      </c>
      <c r="I50" s="16">
        <v>4.4000000000000004</v>
      </c>
      <c r="J50" s="18"/>
    </row>
    <row r="51" spans="1:10" x14ac:dyDescent="0.3">
      <c r="A51" s="16" t="s">
        <v>151</v>
      </c>
      <c r="B51" s="16" t="s">
        <v>152</v>
      </c>
      <c r="C51" s="16" t="s">
        <v>33</v>
      </c>
      <c r="D51" s="16" t="s">
        <v>34</v>
      </c>
      <c r="E51" s="16" t="s">
        <v>35</v>
      </c>
      <c r="F51" s="17">
        <v>3880</v>
      </c>
      <c r="G51" s="18">
        <v>45501</v>
      </c>
      <c r="H51" s="16" t="s">
        <v>30</v>
      </c>
      <c r="I51" s="16">
        <v>4.9000000000000004</v>
      </c>
      <c r="J51" s="18"/>
    </row>
    <row r="52" spans="1:10" x14ac:dyDescent="0.3">
      <c r="A52" s="16" t="s">
        <v>153</v>
      </c>
      <c r="B52" s="16" t="s">
        <v>154</v>
      </c>
      <c r="C52" s="16" t="s">
        <v>38</v>
      </c>
      <c r="D52" s="16" t="s">
        <v>50</v>
      </c>
      <c r="E52" s="16" t="s">
        <v>40</v>
      </c>
      <c r="F52" s="17">
        <v>3740</v>
      </c>
      <c r="G52" s="18">
        <v>45508</v>
      </c>
      <c r="H52" s="16" t="s">
        <v>30</v>
      </c>
      <c r="I52" s="16">
        <v>3.5</v>
      </c>
      <c r="J52" s="18"/>
    </row>
    <row r="53" spans="1:10" x14ac:dyDescent="0.3">
      <c r="A53" s="16" t="s">
        <v>155</v>
      </c>
      <c r="B53" s="16" t="s">
        <v>156</v>
      </c>
      <c r="C53" s="16" t="s">
        <v>98</v>
      </c>
      <c r="D53" s="16" t="s">
        <v>99</v>
      </c>
      <c r="E53" s="16" t="s">
        <v>40</v>
      </c>
      <c r="F53" s="17">
        <v>4380</v>
      </c>
      <c r="G53" s="18">
        <v>45512</v>
      </c>
      <c r="H53" s="16" t="s">
        <v>30</v>
      </c>
      <c r="I53" s="16">
        <v>4.4000000000000004</v>
      </c>
      <c r="J53" s="18"/>
    </row>
    <row r="54" spans="1:10" x14ac:dyDescent="0.3">
      <c r="A54" s="16" t="s">
        <v>157</v>
      </c>
      <c r="B54" s="16" t="s">
        <v>158</v>
      </c>
      <c r="C54" s="16" t="s">
        <v>33</v>
      </c>
      <c r="D54" s="16" t="s">
        <v>131</v>
      </c>
      <c r="E54" s="16" t="s">
        <v>29</v>
      </c>
      <c r="F54" s="17">
        <v>3170</v>
      </c>
      <c r="G54" s="18">
        <v>45542</v>
      </c>
      <c r="H54" s="16" t="s">
        <v>30</v>
      </c>
      <c r="I54" s="16">
        <v>4</v>
      </c>
      <c r="J54" s="18"/>
    </row>
    <row r="55" spans="1:10" x14ac:dyDescent="0.3">
      <c r="A55" s="16" t="s">
        <v>159</v>
      </c>
      <c r="B55" s="16" t="s">
        <v>160</v>
      </c>
      <c r="C55" s="16" t="s">
        <v>27</v>
      </c>
      <c r="D55" s="16" t="s">
        <v>72</v>
      </c>
      <c r="E55" s="16" t="s">
        <v>62</v>
      </c>
      <c r="F55" s="17">
        <v>2990</v>
      </c>
      <c r="G55" s="18">
        <v>45548</v>
      </c>
      <c r="H55" s="16" t="s">
        <v>30</v>
      </c>
      <c r="I55" s="16">
        <v>3.8</v>
      </c>
      <c r="J55" s="18"/>
    </row>
    <row r="56" spans="1:10" x14ac:dyDescent="0.3">
      <c r="A56" s="16" t="s">
        <v>161</v>
      </c>
      <c r="B56" s="16" t="s">
        <v>162</v>
      </c>
      <c r="C56" s="16" t="s">
        <v>38</v>
      </c>
      <c r="D56" s="16" t="s">
        <v>78</v>
      </c>
      <c r="E56" s="16" t="s">
        <v>29</v>
      </c>
      <c r="F56" s="17">
        <v>4030</v>
      </c>
      <c r="G56" s="18">
        <v>45549</v>
      </c>
      <c r="H56" s="16" t="s">
        <v>30</v>
      </c>
      <c r="I56" s="16">
        <v>4.2</v>
      </c>
      <c r="J56" s="18"/>
    </row>
    <row r="57" spans="1:10" x14ac:dyDescent="0.3">
      <c r="A57" s="16" t="s">
        <v>163</v>
      </c>
      <c r="B57" s="16" t="s">
        <v>164</v>
      </c>
      <c r="C57" s="16" t="s">
        <v>33</v>
      </c>
      <c r="D57" s="16" t="s">
        <v>131</v>
      </c>
      <c r="E57" s="16" t="s">
        <v>29</v>
      </c>
      <c r="F57" s="17">
        <v>2690</v>
      </c>
      <c r="G57" s="18">
        <v>45566</v>
      </c>
      <c r="H57" s="16" t="s">
        <v>30</v>
      </c>
      <c r="I57" s="16">
        <v>3.1</v>
      </c>
      <c r="J57" s="18"/>
    </row>
    <row r="58" spans="1:10" x14ac:dyDescent="0.3">
      <c r="A58" s="16" t="s">
        <v>165</v>
      </c>
      <c r="B58" s="16" t="s">
        <v>166</v>
      </c>
      <c r="C58" s="16" t="s">
        <v>98</v>
      </c>
      <c r="D58" s="16" t="s">
        <v>99</v>
      </c>
      <c r="E58" s="16" t="s">
        <v>40</v>
      </c>
      <c r="F58" s="17">
        <v>2960</v>
      </c>
      <c r="G58" s="18">
        <v>45573</v>
      </c>
      <c r="H58" s="16" t="s">
        <v>30</v>
      </c>
      <c r="I58" s="16">
        <v>2.9</v>
      </c>
      <c r="J58" s="18"/>
    </row>
    <row r="59" spans="1:10" x14ac:dyDescent="0.3">
      <c r="A59" s="16" t="s">
        <v>167</v>
      </c>
      <c r="B59" s="16" t="s">
        <v>168</v>
      </c>
      <c r="C59" s="16" t="s">
        <v>65</v>
      </c>
      <c r="D59" s="16" t="s">
        <v>66</v>
      </c>
      <c r="E59" s="16" t="s">
        <v>29</v>
      </c>
      <c r="F59" s="17">
        <v>3610</v>
      </c>
      <c r="G59" s="18">
        <v>45581</v>
      </c>
      <c r="H59" s="16" t="s">
        <v>30</v>
      </c>
      <c r="I59" s="16">
        <v>4.3</v>
      </c>
      <c r="J59" s="18"/>
    </row>
    <row r="60" spans="1:10" x14ac:dyDescent="0.3">
      <c r="A60" s="16" t="s">
        <v>169</v>
      </c>
      <c r="B60" s="16" t="s">
        <v>170</v>
      </c>
      <c r="C60" s="16" t="s">
        <v>65</v>
      </c>
      <c r="D60" s="16" t="s">
        <v>91</v>
      </c>
      <c r="E60" s="16" t="s">
        <v>35</v>
      </c>
      <c r="F60" s="17">
        <v>3460</v>
      </c>
      <c r="G60" s="18">
        <v>45601</v>
      </c>
      <c r="H60" s="16" t="s">
        <v>30</v>
      </c>
      <c r="I60" s="16">
        <v>3.7</v>
      </c>
      <c r="J60" s="18"/>
    </row>
    <row r="61" spans="1:10" x14ac:dyDescent="0.3">
      <c r="A61" s="16" t="s">
        <v>171</v>
      </c>
      <c r="B61" s="16" t="s">
        <v>172</v>
      </c>
      <c r="C61" s="16" t="s">
        <v>65</v>
      </c>
      <c r="D61" s="16" t="s">
        <v>173</v>
      </c>
      <c r="E61" s="16" t="s">
        <v>29</v>
      </c>
      <c r="F61" s="17">
        <v>3820</v>
      </c>
      <c r="G61" s="18">
        <v>45603</v>
      </c>
      <c r="H61" s="16" t="s">
        <v>41</v>
      </c>
      <c r="I61" s="16">
        <v>4.5</v>
      </c>
      <c r="J61" s="18"/>
    </row>
    <row r="62" spans="1:10" x14ac:dyDescent="0.3">
      <c r="A62" s="16" t="s">
        <v>174</v>
      </c>
      <c r="B62" s="16" t="s">
        <v>175</v>
      </c>
      <c r="C62" s="16" t="s">
        <v>38</v>
      </c>
      <c r="D62" s="16" t="s">
        <v>39</v>
      </c>
      <c r="E62" s="16" t="s">
        <v>40</v>
      </c>
      <c r="F62" s="17">
        <v>4570</v>
      </c>
      <c r="G62" s="18">
        <v>45658</v>
      </c>
      <c r="H62" s="16" t="s">
        <v>30</v>
      </c>
      <c r="I62" s="16">
        <v>4.3</v>
      </c>
      <c r="J62" s="18"/>
    </row>
    <row r="63" spans="1:10" x14ac:dyDescent="0.3">
      <c r="A63" s="16" t="s">
        <v>176</v>
      </c>
      <c r="B63" s="16" t="s">
        <v>177</v>
      </c>
      <c r="C63" s="16" t="s">
        <v>27</v>
      </c>
      <c r="D63" s="16" t="s">
        <v>72</v>
      </c>
      <c r="E63" s="16" t="s">
        <v>62</v>
      </c>
      <c r="F63" s="17">
        <v>2530</v>
      </c>
      <c r="G63" s="18">
        <v>45682</v>
      </c>
      <c r="H63" s="16" t="s">
        <v>30</v>
      </c>
      <c r="I63" s="16">
        <v>3.2</v>
      </c>
      <c r="J63" s="18"/>
    </row>
    <row r="64" spans="1:10" x14ac:dyDescent="0.3">
      <c r="A64" s="16" t="s">
        <v>178</v>
      </c>
      <c r="B64" s="16" t="s">
        <v>179</v>
      </c>
      <c r="C64" s="16" t="s">
        <v>65</v>
      </c>
      <c r="D64" s="16" t="s">
        <v>91</v>
      </c>
      <c r="E64" s="16" t="s">
        <v>35</v>
      </c>
      <c r="F64" s="17">
        <v>2600</v>
      </c>
      <c r="G64" s="18">
        <v>45690</v>
      </c>
      <c r="H64" s="16" t="s">
        <v>41</v>
      </c>
      <c r="I64" s="16">
        <v>2.9</v>
      </c>
      <c r="J64" s="18"/>
    </row>
    <row r="65" spans="1:10" x14ac:dyDescent="0.3">
      <c r="A65" s="16" t="s">
        <v>180</v>
      </c>
      <c r="B65" s="16" t="s">
        <v>181</v>
      </c>
      <c r="C65" s="16" t="s">
        <v>98</v>
      </c>
      <c r="D65" s="16" t="s">
        <v>142</v>
      </c>
      <c r="E65" s="16" t="s">
        <v>29</v>
      </c>
      <c r="F65" s="17">
        <v>4330</v>
      </c>
      <c r="G65" s="18">
        <v>45708</v>
      </c>
      <c r="H65" s="16" t="s">
        <v>30</v>
      </c>
      <c r="I65" s="16">
        <v>4.7</v>
      </c>
      <c r="J65" s="18"/>
    </row>
    <row r="66" spans="1:10" x14ac:dyDescent="0.3">
      <c r="A66" s="16" t="s">
        <v>182</v>
      </c>
      <c r="B66" s="16" t="s">
        <v>183</v>
      </c>
      <c r="C66" s="16" t="s">
        <v>38</v>
      </c>
      <c r="D66" s="16" t="s">
        <v>78</v>
      </c>
      <c r="E66" s="16" t="s">
        <v>29</v>
      </c>
      <c r="F66" s="17">
        <v>3760</v>
      </c>
      <c r="G66" s="18">
        <v>45727</v>
      </c>
      <c r="H66" s="16" t="s">
        <v>30</v>
      </c>
      <c r="I66" s="16">
        <v>3.9</v>
      </c>
      <c r="J66" s="18"/>
    </row>
    <row r="67" spans="1:10" x14ac:dyDescent="0.3">
      <c r="A67" s="16" t="s">
        <v>184</v>
      </c>
      <c r="B67" s="16" t="s">
        <v>185</v>
      </c>
      <c r="C67" s="16" t="s">
        <v>38</v>
      </c>
      <c r="D67" s="16" t="s">
        <v>50</v>
      </c>
      <c r="E67" s="16" t="s">
        <v>40</v>
      </c>
      <c r="F67" s="17">
        <v>4640</v>
      </c>
      <c r="G67" s="18">
        <v>45734</v>
      </c>
      <c r="H67" s="16" t="s">
        <v>30</v>
      </c>
      <c r="I67" s="16">
        <v>4.4000000000000004</v>
      </c>
      <c r="J67" s="18"/>
    </row>
    <row r="68" spans="1:10" x14ac:dyDescent="0.3">
      <c r="A68" s="16" t="s">
        <v>186</v>
      </c>
      <c r="B68" s="16" t="s">
        <v>187</v>
      </c>
      <c r="C68" s="16" t="s">
        <v>65</v>
      </c>
      <c r="D68" s="16" t="s">
        <v>75</v>
      </c>
      <c r="E68" s="16" t="s">
        <v>62</v>
      </c>
      <c r="F68" s="17">
        <v>2440</v>
      </c>
      <c r="G68" s="18">
        <v>45742</v>
      </c>
      <c r="H68" s="16" t="s">
        <v>30</v>
      </c>
      <c r="I68" s="16">
        <v>2.9</v>
      </c>
      <c r="J68" s="18"/>
    </row>
    <row r="69" spans="1:10" x14ac:dyDescent="0.3">
      <c r="A69" s="16" t="s">
        <v>188</v>
      </c>
      <c r="B69" s="16" t="s">
        <v>189</v>
      </c>
      <c r="C69" s="16" t="s">
        <v>98</v>
      </c>
      <c r="D69" s="16" t="s">
        <v>190</v>
      </c>
      <c r="E69" s="16" t="s">
        <v>35</v>
      </c>
      <c r="F69" s="17">
        <v>3110</v>
      </c>
      <c r="G69" s="18">
        <v>45751</v>
      </c>
      <c r="H69" s="16" t="s">
        <v>30</v>
      </c>
      <c r="I69" s="16">
        <v>3.2</v>
      </c>
      <c r="J69" s="18"/>
    </row>
    <row r="70" spans="1:10" x14ac:dyDescent="0.3">
      <c r="A70" s="16" t="s">
        <v>191</v>
      </c>
      <c r="B70" s="16" t="s">
        <v>192</v>
      </c>
      <c r="C70" s="16" t="s">
        <v>33</v>
      </c>
      <c r="D70" s="16" t="s">
        <v>131</v>
      </c>
      <c r="E70" s="16" t="s">
        <v>29</v>
      </c>
      <c r="F70" s="17">
        <v>3380</v>
      </c>
      <c r="G70" s="18">
        <v>45758</v>
      </c>
      <c r="H70" s="16" t="s">
        <v>30</v>
      </c>
      <c r="I70" s="16">
        <v>4.3</v>
      </c>
      <c r="J70" s="18"/>
    </row>
    <row r="71" spans="1:10" x14ac:dyDescent="0.3">
      <c r="A71" s="16" t="s">
        <v>193</v>
      </c>
      <c r="B71" s="16" t="s">
        <v>194</v>
      </c>
      <c r="C71" s="16" t="s">
        <v>33</v>
      </c>
      <c r="D71" s="16" t="s">
        <v>69</v>
      </c>
      <c r="E71" s="16" t="s">
        <v>35</v>
      </c>
      <c r="F71" s="17">
        <v>2940</v>
      </c>
      <c r="G71" s="18">
        <v>45790</v>
      </c>
      <c r="H71" s="16" t="s">
        <v>30</v>
      </c>
      <c r="I71" s="16">
        <v>3.5</v>
      </c>
      <c r="J71" s="18"/>
    </row>
    <row r="72" spans="1:10" x14ac:dyDescent="0.3">
      <c r="A72" s="16" t="s">
        <v>195</v>
      </c>
      <c r="B72" s="16" t="s">
        <v>196</v>
      </c>
      <c r="C72" s="16" t="s">
        <v>38</v>
      </c>
      <c r="D72" s="16" t="s">
        <v>78</v>
      </c>
      <c r="E72" s="16" t="s">
        <v>29</v>
      </c>
      <c r="F72" s="17">
        <v>4560</v>
      </c>
      <c r="G72" s="18">
        <v>45809</v>
      </c>
      <c r="H72" s="16" t="s">
        <v>30</v>
      </c>
      <c r="I72" s="16">
        <v>4.8</v>
      </c>
      <c r="J72" s="18"/>
    </row>
    <row r="73" spans="1:10" x14ac:dyDescent="0.3">
      <c r="A73" s="16" t="s">
        <v>197</v>
      </c>
      <c r="B73" s="16" t="s">
        <v>198</v>
      </c>
      <c r="C73" s="16" t="s">
        <v>27</v>
      </c>
      <c r="D73" s="16" t="s">
        <v>28</v>
      </c>
      <c r="E73" s="16" t="s">
        <v>29</v>
      </c>
      <c r="F73" s="17">
        <v>2460</v>
      </c>
      <c r="G73" s="18">
        <v>45811</v>
      </c>
      <c r="H73" s="16" t="s">
        <v>30</v>
      </c>
      <c r="I73" s="16">
        <v>2.9</v>
      </c>
      <c r="J73" s="18"/>
    </row>
    <row r="74" spans="1:10" x14ac:dyDescent="0.3">
      <c r="A74" s="16" t="s">
        <v>199</v>
      </c>
      <c r="B74" s="16" t="s">
        <v>200</v>
      </c>
      <c r="C74" s="16" t="s">
        <v>38</v>
      </c>
      <c r="D74" s="16" t="s">
        <v>50</v>
      </c>
      <c r="E74" s="16" t="s">
        <v>40</v>
      </c>
      <c r="F74" s="17">
        <v>3550</v>
      </c>
      <c r="G74" s="18">
        <v>45872</v>
      </c>
      <c r="H74" s="16" t="s">
        <v>30</v>
      </c>
      <c r="I74" s="16">
        <v>3.3</v>
      </c>
      <c r="J74" s="18"/>
    </row>
    <row r="75" spans="1:10" x14ac:dyDescent="0.3">
      <c r="A75" s="16" t="s">
        <v>201</v>
      </c>
      <c r="B75" s="16" t="s">
        <v>202</v>
      </c>
      <c r="C75" s="16" t="s">
        <v>33</v>
      </c>
      <c r="D75" s="16" t="s">
        <v>131</v>
      </c>
      <c r="E75" s="16" t="s">
        <v>29</v>
      </c>
      <c r="F75" s="17">
        <v>3090</v>
      </c>
      <c r="G75" s="18">
        <v>45937</v>
      </c>
      <c r="H75" s="16" t="s">
        <v>30</v>
      </c>
      <c r="I75" s="16">
        <v>4</v>
      </c>
      <c r="J75" s="18"/>
    </row>
    <row r="76" spans="1:10" x14ac:dyDescent="0.3">
      <c r="A76" s="16" t="s">
        <v>203</v>
      </c>
      <c r="B76" s="16" t="s">
        <v>204</v>
      </c>
      <c r="C76" s="16" t="s">
        <v>65</v>
      </c>
      <c r="D76" s="16" t="s">
        <v>75</v>
      </c>
      <c r="E76" s="16" t="s">
        <v>62</v>
      </c>
      <c r="F76" s="17">
        <v>3250</v>
      </c>
      <c r="G76" s="18">
        <v>45951</v>
      </c>
      <c r="H76" s="16" t="s">
        <v>30</v>
      </c>
      <c r="I76" s="16">
        <v>4</v>
      </c>
      <c r="J76" s="18"/>
    </row>
    <row r="77" spans="1:10" x14ac:dyDescent="0.3">
      <c r="A77" s="16" t="s">
        <v>205</v>
      </c>
      <c r="B77" s="16" t="s">
        <v>206</v>
      </c>
      <c r="C77" s="16" t="s">
        <v>38</v>
      </c>
      <c r="D77" s="16" t="s">
        <v>78</v>
      </c>
      <c r="E77" s="16" t="s">
        <v>29</v>
      </c>
      <c r="F77" s="17">
        <v>3560</v>
      </c>
      <c r="G77" s="18">
        <v>45952</v>
      </c>
      <c r="H77" s="16" t="s">
        <v>30</v>
      </c>
      <c r="I77" s="16">
        <v>3.8</v>
      </c>
      <c r="J77" s="18"/>
    </row>
    <row r="78" spans="1:10" x14ac:dyDescent="0.3">
      <c r="A78" s="16" t="s">
        <v>207</v>
      </c>
      <c r="B78" s="16" t="s">
        <v>208</v>
      </c>
      <c r="C78" s="16" t="s">
        <v>27</v>
      </c>
      <c r="D78" s="16" t="s">
        <v>28</v>
      </c>
      <c r="E78" s="16" t="s">
        <v>29</v>
      </c>
      <c r="F78" s="17">
        <v>2830</v>
      </c>
      <c r="G78" s="18">
        <v>45957</v>
      </c>
      <c r="H78" s="16" t="s">
        <v>30</v>
      </c>
      <c r="I78" s="16">
        <v>3.4</v>
      </c>
      <c r="J78" s="18"/>
    </row>
    <row r="79" spans="1:10" x14ac:dyDescent="0.3">
      <c r="A79" s="16" t="s">
        <v>209</v>
      </c>
      <c r="B79" s="16" t="s">
        <v>210</v>
      </c>
      <c r="C79" s="16" t="s">
        <v>38</v>
      </c>
      <c r="D79" s="16" t="s">
        <v>78</v>
      </c>
      <c r="E79" s="16" t="s">
        <v>29</v>
      </c>
      <c r="F79" s="17">
        <v>3940</v>
      </c>
      <c r="G79" s="18">
        <v>45963</v>
      </c>
      <c r="H79" s="16" t="s">
        <v>30</v>
      </c>
      <c r="I79" s="16">
        <v>4</v>
      </c>
      <c r="J79" s="18"/>
    </row>
    <row r="80" spans="1:10" x14ac:dyDescent="0.3">
      <c r="A80" s="16" t="s">
        <v>211</v>
      </c>
      <c r="B80" s="16" t="s">
        <v>212</v>
      </c>
      <c r="C80" s="16" t="s">
        <v>98</v>
      </c>
      <c r="D80" s="16" t="s">
        <v>142</v>
      </c>
      <c r="E80" s="16" t="s">
        <v>29</v>
      </c>
      <c r="F80" s="17">
        <v>2120</v>
      </c>
      <c r="G80" s="18">
        <v>45974</v>
      </c>
      <c r="H80" s="16" t="s">
        <v>30</v>
      </c>
      <c r="I80" s="16">
        <v>2.1</v>
      </c>
      <c r="J80" s="18"/>
    </row>
    <row r="81" spans="1:10" x14ac:dyDescent="0.3">
      <c r="A81" s="16" t="s">
        <v>213</v>
      </c>
      <c r="B81" s="16" t="s">
        <v>214</v>
      </c>
      <c r="C81" s="16" t="s">
        <v>65</v>
      </c>
      <c r="D81" s="16" t="s">
        <v>75</v>
      </c>
      <c r="E81" s="16" t="s">
        <v>62</v>
      </c>
      <c r="F81" s="17">
        <v>2650</v>
      </c>
      <c r="G81" s="18">
        <v>45976</v>
      </c>
      <c r="H81" s="16" t="s">
        <v>41</v>
      </c>
      <c r="I81" s="16">
        <v>3.1</v>
      </c>
      <c r="J81" s="18"/>
    </row>
    <row r="82" spans="1:10" x14ac:dyDescent="0.3">
      <c r="A82" s="16" t="s">
        <v>215</v>
      </c>
      <c r="B82" s="16" t="s">
        <v>216</v>
      </c>
      <c r="C82" s="16" t="s">
        <v>33</v>
      </c>
      <c r="D82" s="16" t="s">
        <v>34</v>
      </c>
      <c r="E82" s="16" t="s">
        <v>35</v>
      </c>
      <c r="F82" s="17">
        <v>2920</v>
      </c>
      <c r="G82" s="18">
        <v>46003</v>
      </c>
      <c r="H82" s="16" t="s">
        <v>30</v>
      </c>
      <c r="I82" s="16">
        <v>3.6</v>
      </c>
      <c r="J82" s="18"/>
    </row>
    <row r="83" spans="1:10" x14ac:dyDescent="0.3">
      <c r="A83" s="16" t="s">
        <v>217</v>
      </c>
      <c r="B83" s="16" t="s">
        <v>218</v>
      </c>
      <c r="C83" s="16" t="s">
        <v>65</v>
      </c>
      <c r="D83" s="16" t="s">
        <v>173</v>
      </c>
      <c r="E83" s="16" t="s">
        <v>29</v>
      </c>
      <c r="F83" s="17">
        <v>3110</v>
      </c>
      <c r="G83" s="18">
        <v>46005</v>
      </c>
      <c r="H83" s="16" t="s">
        <v>30</v>
      </c>
      <c r="I83" s="16">
        <v>3.2</v>
      </c>
      <c r="J83" s="18"/>
    </row>
    <row r="84" spans="1:10" x14ac:dyDescent="0.3">
      <c r="A84" s="16" t="s">
        <v>219</v>
      </c>
      <c r="B84" s="16" t="s">
        <v>220</v>
      </c>
      <c r="C84" s="16" t="s">
        <v>65</v>
      </c>
      <c r="D84" s="16" t="s">
        <v>75</v>
      </c>
      <c r="E84" s="16" t="s">
        <v>62</v>
      </c>
      <c r="F84" s="17">
        <v>2600</v>
      </c>
      <c r="G84" s="18">
        <v>46019</v>
      </c>
      <c r="H84" s="16" t="s">
        <v>30</v>
      </c>
      <c r="I84" s="16">
        <v>3</v>
      </c>
      <c r="J84" s="18"/>
    </row>
    <row r="85" spans="1:10" x14ac:dyDescent="0.3">
      <c r="A85" s="16" t="s">
        <v>221</v>
      </c>
      <c r="B85" s="16" t="s">
        <v>222</v>
      </c>
      <c r="C85" s="16" t="s">
        <v>38</v>
      </c>
      <c r="D85" s="16" t="s">
        <v>39</v>
      </c>
      <c r="E85" s="16" t="s">
        <v>40</v>
      </c>
      <c r="F85" s="17">
        <v>3800</v>
      </c>
      <c r="G85" s="18">
        <v>46029</v>
      </c>
      <c r="H85" s="16" t="s">
        <v>30</v>
      </c>
      <c r="I85" s="16">
        <v>3.4</v>
      </c>
      <c r="J85" s="18"/>
    </row>
    <row r="86" spans="1:10" x14ac:dyDescent="0.3">
      <c r="A86" s="16" t="s">
        <v>223</v>
      </c>
      <c r="B86" s="16" t="s">
        <v>224</v>
      </c>
      <c r="C86" s="16" t="s">
        <v>65</v>
      </c>
      <c r="D86" s="16" t="s">
        <v>75</v>
      </c>
      <c r="E86" s="16" t="s">
        <v>62</v>
      </c>
      <c r="F86" s="17">
        <v>3180</v>
      </c>
      <c r="G86" s="18">
        <v>46031</v>
      </c>
      <c r="H86" s="16" t="s">
        <v>30</v>
      </c>
      <c r="I86" s="16">
        <v>3.6</v>
      </c>
      <c r="J86" s="18"/>
    </row>
    <row r="87" spans="1:10" x14ac:dyDescent="0.3">
      <c r="A87" s="16" t="s">
        <v>225</v>
      </c>
      <c r="B87" s="16" t="s">
        <v>226</v>
      </c>
      <c r="C87" s="16" t="s">
        <v>65</v>
      </c>
      <c r="D87" s="16" t="s">
        <v>91</v>
      </c>
      <c r="E87" s="16" t="s">
        <v>35</v>
      </c>
      <c r="F87" s="17">
        <v>3080</v>
      </c>
      <c r="G87" s="18">
        <v>46032</v>
      </c>
      <c r="H87" s="16" t="s">
        <v>30</v>
      </c>
      <c r="I87" s="16">
        <v>3.1</v>
      </c>
      <c r="J87" s="18"/>
    </row>
    <row r="88" spans="1:10" x14ac:dyDescent="0.3">
      <c r="A88" s="16" t="s">
        <v>227</v>
      </c>
      <c r="B88" s="16" t="s">
        <v>228</v>
      </c>
      <c r="C88" s="16" t="s">
        <v>98</v>
      </c>
      <c r="D88" s="16" t="s">
        <v>190</v>
      </c>
      <c r="E88" s="16" t="s">
        <v>35</v>
      </c>
      <c r="F88" s="17">
        <v>3020</v>
      </c>
      <c r="G88" s="18">
        <v>46068</v>
      </c>
      <c r="H88" s="16" t="s">
        <v>41</v>
      </c>
      <c r="I88" s="16">
        <v>3.1</v>
      </c>
      <c r="J88" s="18"/>
    </row>
    <row r="89" spans="1:10" x14ac:dyDescent="0.3">
      <c r="A89" s="16" t="s">
        <v>229</v>
      </c>
      <c r="B89" s="16" t="s">
        <v>230</v>
      </c>
      <c r="C89" s="16" t="s">
        <v>65</v>
      </c>
      <c r="D89" s="16" t="s">
        <v>66</v>
      </c>
      <c r="E89" s="16" t="s">
        <v>29</v>
      </c>
      <c r="F89" s="17">
        <v>4130</v>
      </c>
      <c r="G89" s="18">
        <v>46073</v>
      </c>
      <c r="H89" s="16" t="s">
        <v>30</v>
      </c>
      <c r="I89" s="16">
        <v>4.8</v>
      </c>
      <c r="J89" s="18"/>
    </row>
    <row r="90" spans="1:10" x14ac:dyDescent="0.3">
      <c r="A90" s="16" t="s">
        <v>231</v>
      </c>
      <c r="B90" s="16" t="s">
        <v>232</v>
      </c>
      <c r="C90" s="16" t="s">
        <v>38</v>
      </c>
      <c r="D90" s="16" t="s">
        <v>61</v>
      </c>
      <c r="E90" s="16" t="s">
        <v>62</v>
      </c>
      <c r="F90" s="17">
        <v>3720</v>
      </c>
      <c r="G90" s="18">
        <v>46089</v>
      </c>
      <c r="H90" s="16" t="s">
        <v>30</v>
      </c>
      <c r="I90" s="16">
        <v>4.2</v>
      </c>
      <c r="J90" s="18"/>
    </row>
    <row r="91" spans="1:10" x14ac:dyDescent="0.3">
      <c r="A91" s="16" t="s">
        <v>233</v>
      </c>
      <c r="B91" s="16" t="s">
        <v>234</v>
      </c>
      <c r="C91" s="16" t="s">
        <v>27</v>
      </c>
      <c r="D91" s="16" t="s">
        <v>72</v>
      </c>
      <c r="E91" s="16" t="s">
        <v>62</v>
      </c>
      <c r="F91" s="17">
        <v>2860</v>
      </c>
      <c r="G91" s="18">
        <v>46102</v>
      </c>
      <c r="H91" s="16" t="s">
        <v>30</v>
      </c>
      <c r="I91" s="16">
        <v>3.5</v>
      </c>
      <c r="J91" s="18"/>
    </row>
    <row r="92" spans="1:10" x14ac:dyDescent="0.3">
      <c r="A92" s="16" t="s">
        <v>235</v>
      </c>
      <c r="B92" s="16" t="s">
        <v>236</v>
      </c>
      <c r="C92" s="16" t="s">
        <v>38</v>
      </c>
      <c r="D92" s="16" t="s">
        <v>78</v>
      </c>
      <c r="E92" s="16" t="s">
        <v>29</v>
      </c>
      <c r="F92" s="17">
        <v>3500</v>
      </c>
      <c r="G92" s="18">
        <v>46119</v>
      </c>
      <c r="H92" s="16" t="s">
        <v>30</v>
      </c>
      <c r="I92" s="16">
        <v>3.7</v>
      </c>
      <c r="J92" s="18"/>
    </row>
    <row r="93" spans="1:10" x14ac:dyDescent="0.3">
      <c r="A93" s="16" t="s">
        <v>237</v>
      </c>
      <c r="B93" s="16" t="s">
        <v>238</v>
      </c>
      <c r="C93" s="16" t="s">
        <v>33</v>
      </c>
      <c r="D93" s="16" t="s">
        <v>131</v>
      </c>
      <c r="E93" s="16" t="s">
        <v>29</v>
      </c>
      <c r="F93" s="17">
        <v>3150</v>
      </c>
      <c r="G93" s="18">
        <v>46130</v>
      </c>
      <c r="H93" s="16" t="s">
        <v>30</v>
      </c>
      <c r="I93" s="16">
        <v>3.9</v>
      </c>
      <c r="J93" s="18"/>
    </row>
    <row r="94" spans="1:10" x14ac:dyDescent="0.3">
      <c r="A94" s="16" t="s">
        <v>239</v>
      </c>
      <c r="B94" s="16" t="s">
        <v>240</v>
      </c>
      <c r="C94" s="16" t="s">
        <v>65</v>
      </c>
      <c r="D94" s="16" t="s">
        <v>66</v>
      </c>
      <c r="E94" s="16" t="s">
        <v>29</v>
      </c>
      <c r="F94" s="17">
        <v>2510</v>
      </c>
      <c r="G94" s="18">
        <v>46148</v>
      </c>
      <c r="H94" s="16" t="s">
        <v>30</v>
      </c>
      <c r="I94" s="16">
        <v>2.9</v>
      </c>
      <c r="J94" s="18"/>
    </row>
    <row r="95" spans="1:10" x14ac:dyDescent="0.3">
      <c r="A95" s="16" t="s">
        <v>241</v>
      </c>
      <c r="B95" s="16" t="s">
        <v>242</v>
      </c>
      <c r="C95" s="16" t="s">
        <v>65</v>
      </c>
      <c r="D95" s="16" t="s">
        <v>91</v>
      </c>
      <c r="E95" s="16" t="s">
        <v>35</v>
      </c>
      <c r="F95" s="17">
        <v>3450</v>
      </c>
      <c r="G95" s="18">
        <v>46151</v>
      </c>
      <c r="H95" s="16" t="s">
        <v>30</v>
      </c>
      <c r="I95" s="16">
        <v>3.7</v>
      </c>
      <c r="J95" s="18"/>
    </row>
    <row r="96" spans="1:10" x14ac:dyDescent="0.3">
      <c r="A96" s="16" t="s">
        <v>243</v>
      </c>
      <c r="B96" s="16" t="s">
        <v>244</v>
      </c>
      <c r="C96" s="16" t="s">
        <v>27</v>
      </c>
      <c r="D96" s="16" t="s">
        <v>44</v>
      </c>
      <c r="E96" s="16" t="s">
        <v>40</v>
      </c>
      <c r="F96" s="17">
        <v>3480</v>
      </c>
      <c r="G96" s="18">
        <v>46156</v>
      </c>
      <c r="H96" s="16" t="s">
        <v>30</v>
      </c>
      <c r="I96" s="16">
        <v>3.7</v>
      </c>
      <c r="J96" s="18"/>
    </row>
    <row r="97" spans="1:10" x14ac:dyDescent="0.3">
      <c r="A97" s="16" t="s">
        <v>245</v>
      </c>
      <c r="B97" s="16" t="s">
        <v>246</v>
      </c>
      <c r="C97" s="16" t="s">
        <v>33</v>
      </c>
      <c r="D97" s="16" t="s">
        <v>131</v>
      </c>
      <c r="E97" s="16" t="s">
        <v>29</v>
      </c>
      <c r="F97" s="17">
        <v>3050</v>
      </c>
      <c r="G97" s="18">
        <v>46160</v>
      </c>
      <c r="H97" s="16" t="s">
        <v>30</v>
      </c>
      <c r="I97" s="16">
        <v>3.9</v>
      </c>
      <c r="J97" s="18"/>
    </row>
    <row r="98" spans="1:10" x14ac:dyDescent="0.3">
      <c r="A98" s="16" t="s">
        <v>247</v>
      </c>
      <c r="B98" s="16" t="s">
        <v>248</v>
      </c>
      <c r="C98" s="16" t="s">
        <v>27</v>
      </c>
      <c r="D98" s="16" t="s">
        <v>28</v>
      </c>
      <c r="E98" s="16" t="s">
        <v>29</v>
      </c>
      <c r="F98" s="17">
        <v>2480</v>
      </c>
      <c r="G98" s="18">
        <v>46176</v>
      </c>
      <c r="H98" s="16" t="s">
        <v>30</v>
      </c>
      <c r="I98" s="16">
        <v>2.6</v>
      </c>
      <c r="J98" s="18"/>
    </row>
    <row r="99" spans="1:10" x14ac:dyDescent="0.3">
      <c r="A99" s="16" t="s">
        <v>249</v>
      </c>
      <c r="B99" s="16" t="s">
        <v>250</v>
      </c>
      <c r="C99" s="16" t="s">
        <v>38</v>
      </c>
      <c r="D99" s="16" t="s">
        <v>78</v>
      </c>
      <c r="E99" s="16" t="s">
        <v>29</v>
      </c>
      <c r="F99" s="17">
        <v>4150</v>
      </c>
      <c r="G99" s="18">
        <v>46183</v>
      </c>
      <c r="H99" s="16" t="s">
        <v>30</v>
      </c>
      <c r="I99" s="16">
        <v>4.4000000000000004</v>
      </c>
      <c r="J99" s="18"/>
    </row>
    <row r="100" spans="1:10" x14ac:dyDescent="0.3">
      <c r="A100" s="16" t="s">
        <v>251</v>
      </c>
      <c r="B100" s="16" t="s">
        <v>252</v>
      </c>
      <c r="C100" s="16" t="s">
        <v>65</v>
      </c>
      <c r="D100" s="16" t="s">
        <v>66</v>
      </c>
      <c r="E100" s="16" t="s">
        <v>29</v>
      </c>
      <c r="F100" s="17">
        <v>3270</v>
      </c>
      <c r="G100" s="18">
        <v>46195</v>
      </c>
      <c r="H100" s="16" t="s">
        <v>30</v>
      </c>
      <c r="I100" s="16">
        <v>3.7</v>
      </c>
      <c r="J100" s="18"/>
    </row>
    <row r="101" spans="1:10" x14ac:dyDescent="0.3">
      <c r="A101" s="16" t="s">
        <v>253</v>
      </c>
      <c r="B101" s="16" t="s">
        <v>254</v>
      </c>
      <c r="C101" s="16" t="s">
        <v>65</v>
      </c>
      <c r="D101" s="16" t="s">
        <v>66</v>
      </c>
      <c r="E101" s="16" t="s">
        <v>29</v>
      </c>
      <c r="F101" s="17">
        <v>3450</v>
      </c>
      <c r="G101" s="18">
        <v>46196</v>
      </c>
      <c r="H101" s="16" t="s">
        <v>30</v>
      </c>
      <c r="I101" s="16">
        <v>3.9</v>
      </c>
      <c r="J101" s="18"/>
    </row>
    <row r="102" spans="1:10" x14ac:dyDescent="0.3">
      <c r="A102" s="16" t="s">
        <v>255</v>
      </c>
      <c r="B102" s="16" t="s">
        <v>256</v>
      </c>
      <c r="C102" s="16" t="s">
        <v>27</v>
      </c>
      <c r="D102" s="16" t="s">
        <v>72</v>
      </c>
      <c r="E102" s="16" t="s">
        <v>62</v>
      </c>
      <c r="F102" s="17">
        <v>3030</v>
      </c>
      <c r="G102" s="18">
        <v>46199</v>
      </c>
      <c r="H102" s="16" t="s">
        <v>30</v>
      </c>
      <c r="I102" s="16">
        <v>3.9</v>
      </c>
      <c r="J102" s="18"/>
    </row>
    <row r="103" spans="1:10" x14ac:dyDescent="0.3">
      <c r="A103" s="16" t="s">
        <v>257</v>
      </c>
      <c r="B103" s="16" t="s">
        <v>258</v>
      </c>
      <c r="C103" s="16" t="s">
        <v>33</v>
      </c>
      <c r="D103" s="16" t="s">
        <v>69</v>
      </c>
      <c r="E103" s="16" t="s">
        <v>35</v>
      </c>
      <c r="F103" s="17">
        <v>3320</v>
      </c>
      <c r="G103" s="18">
        <v>46215</v>
      </c>
      <c r="H103" s="16" t="s">
        <v>30</v>
      </c>
      <c r="I103" s="16">
        <v>4.2</v>
      </c>
      <c r="J103" s="18"/>
    </row>
    <row r="104" spans="1:10" x14ac:dyDescent="0.3">
      <c r="A104" s="16" t="s">
        <v>259</v>
      </c>
      <c r="B104" s="16" t="s">
        <v>260</v>
      </c>
      <c r="C104" s="16" t="s">
        <v>33</v>
      </c>
      <c r="D104" s="16" t="s">
        <v>131</v>
      </c>
      <c r="E104" s="16" t="s">
        <v>29</v>
      </c>
      <c r="F104" s="17">
        <v>3100</v>
      </c>
      <c r="G104" s="18">
        <v>46222</v>
      </c>
      <c r="H104" s="16" t="s">
        <v>30</v>
      </c>
      <c r="I104" s="16">
        <v>3.8</v>
      </c>
      <c r="J104" s="18"/>
    </row>
    <row r="105" spans="1:10" x14ac:dyDescent="0.3">
      <c r="A105" s="16" t="s">
        <v>261</v>
      </c>
      <c r="B105" s="16" t="s">
        <v>262</v>
      </c>
      <c r="C105" s="16" t="s">
        <v>27</v>
      </c>
      <c r="D105" s="16" t="s">
        <v>72</v>
      </c>
      <c r="E105" s="16" t="s">
        <v>62</v>
      </c>
      <c r="F105" s="17">
        <v>3020</v>
      </c>
      <c r="G105" s="18">
        <v>46222</v>
      </c>
      <c r="H105" s="16" t="s">
        <v>30</v>
      </c>
      <c r="I105" s="16">
        <v>3.7</v>
      </c>
      <c r="J105" s="18"/>
    </row>
    <row r="106" spans="1:10" x14ac:dyDescent="0.3">
      <c r="A106" s="16" t="s">
        <v>263</v>
      </c>
      <c r="B106" s="16" t="s">
        <v>264</v>
      </c>
      <c r="C106" s="16" t="s">
        <v>27</v>
      </c>
      <c r="D106" s="16" t="s">
        <v>44</v>
      </c>
      <c r="E106" s="16" t="s">
        <v>40</v>
      </c>
      <c r="F106" s="17">
        <v>3510</v>
      </c>
      <c r="G106" s="18">
        <v>46223</v>
      </c>
      <c r="H106" s="16" t="s">
        <v>30</v>
      </c>
      <c r="I106" s="16">
        <v>3.7</v>
      </c>
      <c r="J106" s="18"/>
    </row>
    <row r="107" spans="1:10" x14ac:dyDescent="0.3">
      <c r="A107" s="16" t="s">
        <v>265</v>
      </c>
      <c r="B107" s="16" t="s">
        <v>266</v>
      </c>
      <c r="C107" s="16" t="s">
        <v>33</v>
      </c>
      <c r="D107" s="16" t="s">
        <v>34</v>
      </c>
      <c r="E107" s="16" t="s">
        <v>35</v>
      </c>
      <c r="F107" s="17">
        <v>2630</v>
      </c>
      <c r="G107" s="18">
        <v>46236</v>
      </c>
      <c r="H107" s="16" t="s">
        <v>30</v>
      </c>
      <c r="I107" s="16">
        <v>3</v>
      </c>
      <c r="J107" s="18"/>
    </row>
    <row r="108" spans="1:10" x14ac:dyDescent="0.3">
      <c r="A108" s="16" t="s">
        <v>267</v>
      </c>
      <c r="B108" s="16" t="s">
        <v>268</v>
      </c>
      <c r="C108" s="16" t="s">
        <v>65</v>
      </c>
      <c r="D108" s="16" t="s">
        <v>75</v>
      </c>
      <c r="E108" s="16" t="s">
        <v>62</v>
      </c>
      <c r="F108" s="17">
        <v>3350</v>
      </c>
      <c r="G108" s="18">
        <v>46238</v>
      </c>
      <c r="H108" s="16" t="s">
        <v>30</v>
      </c>
      <c r="I108" s="16">
        <v>3.8</v>
      </c>
      <c r="J108" s="18"/>
    </row>
    <row r="109" spans="1:10" x14ac:dyDescent="0.3">
      <c r="A109" s="16" t="s">
        <v>269</v>
      </c>
      <c r="B109" s="16" t="s">
        <v>270</v>
      </c>
      <c r="C109" s="16" t="s">
        <v>98</v>
      </c>
      <c r="D109" s="16" t="s">
        <v>190</v>
      </c>
      <c r="E109" s="16" t="s">
        <v>35</v>
      </c>
      <c r="F109" s="17">
        <v>4430</v>
      </c>
      <c r="G109" s="18">
        <v>46243</v>
      </c>
      <c r="H109" s="16" t="s">
        <v>30</v>
      </c>
      <c r="I109" s="16">
        <v>4.9000000000000004</v>
      </c>
      <c r="J109" s="18"/>
    </row>
    <row r="110" spans="1:10" x14ac:dyDescent="0.3">
      <c r="A110" s="16" t="s">
        <v>271</v>
      </c>
      <c r="B110" s="16" t="s">
        <v>272</v>
      </c>
      <c r="C110" s="16" t="s">
        <v>98</v>
      </c>
      <c r="D110" s="16" t="s">
        <v>190</v>
      </c>
      <c r="E110" s="16" t="s">
        <v>35</v>
      </c>
      <c r="F110" s="17">
        <v>3480</v>
      </c>
      <c r="G110" s="18">
        <v>46251</v>
      </c>
      <c r="H110" s="16" t="s">
        <v>30</v>
      </c>
      <c r="I110" s="16">
        <v>3.7</v>
      </c>
      <c r="J110" s="18"/>
    </row>
    <row r="111" spans="1:10" x14ac:dyDescent="0.3">
      <c r="A111" s="16" t="s">
        <v>273</v>
      </c>
      <c r="B111" s="16" t="s">
        <v>274</v>
      </c>
      <c r="C111" s="16" t="s">
        <v>65</v>
      </c>
      <c r="D111" s="16" t="s">
        <v>66</v>
      </c>
      <c r="E111" s="16" t="s">
        <v>29</v>
      </c>
      <c r="F111" s="17">
        <v>2720</v>
      </c>
      <c r="G111" s="18">
        <v>46254</v>
      </c>
      <c r="H111" s="16" t="s">
        <v>30</v>
      </c>
      <c r="I111" s="16">
        <v>3</v>
      </c>
      <c r="J111" s="18"/>
    </row>
    <row r="112" spans="1:10" x14ac:dyDescent="0.3">
      <c r="A112" s="16" t="s">
        <v>275</v>
      </c>
      <c r="B112" s="16" t="s">
        <v>276</v>
      </c>
      <c r="C112" s="16" t="s">
        <v>38</v>
      </c>
      <c r="D112" s="16" t="s">
        <v>47</v>
      </c>
      <c r="E112" s="16" t="s">
        <v>29</v>
      </c>
      <c r="F112" s="17">
        <v>3460</v>
      </c>
      <c r="G112" s="18">
        <v>46266</v>
      </c>
      <c r="H112" s="16" t="s">
        <v>30</v>
      </c>
      <c r="I112" s="16">
        <v>3.4</v>
      </c>
      <c r="J112" s="18"/>
    </row>
    <row r="113" spans="1:10" x14ac:dyDescent="0.3">
      <c r="A113" s="16" t="s">
        <v>277</v>
      </c>
      <c r="B113" s="16" t="s">
        <v>278</v>
      </c>
      <c r="C113" s="16" t="s">
        <v>27</v>
      </c>
      <c r="D113" s="16" t="s">
        <v>28</v>
      </c>
      <c r="E113" s="16" t="s">
        <v>29</v>
      </c>
      <c r="F113" s="17">
        <v>2910</v>
      </c>
      <c r="G113" s="18">
        <v>46284</v>
      </c>
      <c r="H113" s="16" t="s">
        <v>30</v>
      </c>
      <c r="I113" s="16">
        <v>3.5</v>
      </c>
      <c r="J113" s="18"/>
    </row>
    <row r="114" spans="1:10" x14ac:dyDescent="0.3">
      <c r="A114" s="16" t="s">
        <v>279</v>
      </c>
      <c r="B114" s="16" t="s">
        <v>280</v>
      </c>
      <c r="C114" s="16" t="s">
        <v>38</v>
      </c>
      <c r="D114" s="16" t="s">
        <v>39</v>
      </c>
      <c r="E114" s="16" t="s">
        <v>40</v>
      </c>
      <c r="F114" s="17">
        <v>4260</v>
      </c>
      <c r="G114" s="18">
        <v>46291</v>
      </c>
      <c r="H114" s="16" t="s">
        <v>30</v>
      </c>
      <c r="I114" s="16">
        <v>4</v>
      </c>
      <c r="J114" s="18"/>
    </row>
    <row r="115" spans="1:10" x14ac:dyDescent="0.3">
      <c r="A115" s="16" t="s">
        <v>281</v>
      </c>
      <c r="B115" s="16" t="s">
        <v>282</v>
      </c>
      <c r="C115" s="16" t="s">
        <v>65</v>
      </c>
      <c r="D115" s="16" t="s">
        <v>66</v>
      </c>
      <c r="E115" s="16" t="s">
        <v>29</v>
      </c>
      <c r="F115" s="17">
        <v>3570</v>
      </c>
      <c r="G115" s="18">
        <v>46293</v>
      </c>
      <c r="H115" s="16" t="s">
        <v>30</v>
      </c>
      <c r="I115" s="16">
        <v>4</v>
      </c>
      <c r="J115" s="18"/>
    </row>
    <row r="116" spans="1:10" x14ac:dyDescent="0.3">
      <c r="A116" s="16" t="s">
        <v>283</v>
      </c>
      <c r="B116" s="16" t="s">
        <v>284</v>
      </c>
      <c r="C116" s="16" t="s">
        <v>98</v>
      </c>
      <c r="D116" s="16" t="s">
        <v>99</v>
      </c>
      <c r="E116" s="16" t="s">
        <v>40</v>
      </c>
      <c r="F116" s="17">
        <v>3880</v>
      </c>
      <c r="G116" s="18">
        <v>46296</v>
      </c>
      <c r="H116" s="16" t="s">
        <v>30</v>
      </c>
      <c r="I116" s="16">
        <v>3.8</v>
      </c>
      <c r="J116" s="18"/>
    </row>
    <row r="117" spans="1:10" x14ac:dyDescent="0.3">
      <c r="A117" s="16" t="s">
        <v>285</v>
      </c>
      <c r="B117" s="16" t="s">
        <v>286</v>
      </c>
      <c r="C117" s="16" t="s">
        <v>38</v>
      </c>
      <c r="D117" s="16" t="s">
        <v>78</v>
      </c>
      <c r="E117" s="16" t="s">
        <v>29</v>
      </c>
      <c r="F117" s="17">
        <v>3420</v>
      </c>
      <c r="G117" s="18">
        <v>46296</v>
      </c>
      <c r="H117" s="16" t="s">
        <v>30</v>
      </c>
      <c r="I117" s="16">
        <v>3.3</v>
      </c>
      <c r="J117" s="18"/>
    </row>
    <row r="118" spans="1:10" x14ac:dyDescent="0.3">
      <c r="A118" s="16" t="s">
        <v>287</v>
      </c>
      <c r="B118" s="16" t="s">
        <v>288</v>
      </c>
      <c r="C118" s="16" t="s">
        <v>33</v>
      </c>
      <c r="D118" s="16" t="s">
        <v>69</v>
      </c>
      <c r="E118" s="16" t="s">
        <v>35</v>
      </c>
      <c r="F118" s="17">
        <v>3290</v>
      </c>
      <c r="G118" s="18">
        <v>46299</v>
      </c>
      <c r="H118" s="16" t="s">
        <v>30</v>
      </c>
      <c r="I118" s="16">
        <v>3.9</v>
      </c>
      <c r="J118" s="18"/>
    </row>
    <row r="119" spans="1:10" x14ac:dyDescent="0.3">
      <c r="A119" s="16" t="s">
        <v>289</v>
      </c>
      <c r="B119" s="16" t="s">
        <v>290</v>
      </c>
      <c r="C119" s="16" t="s">
        <v>65</v>
      </c>
      <c r="D119" s="16" t="s">
        <v>66</v>
      </c>
      <c r="E119" s="16" t="s">
        <v>29</v>
      </c>
      <c r="F119" s="17">
        <v>3710</v>
      </c>
      <c r="G119" s="18">
        <v>46300</v>
      </c>
      <c r="H119" s="16" t="s">
        <v>30</v>
      </c>
      <c r="I119" s="16">
        <v>4.3</v>
      </c>
      <c r="J119" s="18"/>
    </row>
    <row r="120" spans="1:10" x14ac:dyDescent="0.3">
      <c r="A120" s="16" t="s">
        <v>291</v>
      </c>
      <c r="B120" s="16" t="s">
        <v>292</v>
      </c>
      <c r="C120" s="16" t="s">
        <v>38</v>
      </c>
      <c r="D120" s="16" t="s">
        <v>78</v>
      </c>
      <c r="E120" s="16" t="s">
        <v>29</v>
      </c>
      <c r="F120" s="17">
        <v>3500</v>
      </c>
      <c r="G120" s="18">
        <v>46301</v>
      </c>
      <c r="H120" s="16" t="s">
        <v>30</v>
      </c>
      <c r="I120" s="16">
        <v>3.7</v>
      </c>
      <c r="J120" s="18"/>
    </row>
    <row r="121" spans="1:10" x14ac:dyDescent="0.3">
      <c r="A121" s="16" t="s">
        <v>293</v>
      </c>
      <c r="B121" s="16" t="s">
        <v>294</v>
      </c>
      <c r="C121" s="16" t="s">
        <v>38</v>
      </c>
      <c r="D121" s="16" t="s">
        <v>39</v>
      </c>
      <c r="E121" s="16" t="s">
        <v>40</v>
      </c>
      <c r="F121" s="17">
        <v>3510</v>
      </c>
      <c r="G121" s="18">
        <v>46302</v>
      </c>
      <c r="H121" s="16" t="s">
        <v>30</v>
      </c>
      <c r="I121" s="16">
        <v>3.3</v>
      </c>
      <c r="J121" s="18"/>
    </row>
    <row r="122" spans="1:10" x14ac:dyDescent="0.3">
      <c r="A122" s="16" t="s">
        <v>295</v>
      </c>
      <c r="B122" s="16" t="s">
        <v>296</v>
      </c>
      <c r="C122" s="16" t="s">
        <v>38</v>
      </c>
      <c r="D122" s="16" t="s">
        <v>61</v>
      </c>
      <c r="E122" s="16" t="s">
        <v>62</v>
      </c>
      <c r="F122" s="17">
        <v>3390</v>
      </c>
      <c r="G122" s="18">
        <v>44627</v>
      </c>
      <c r="H122" s="16" t="s">
        <v>297</v>
      </c>
      <c r="I122" s="16">
        <v>3.6</v>
      </c>
      <c r="J122" s="18">
        <v>46288</v>
      </c>
    </row>
    <row r="123" spans="1:10" x14ac:dyDescent="0.3">
      <c r="A123" s="16" t="s">
        <v>298</v>
      </c>
      <c r="B123" s="16" t="s">
        <v>299</v>
      </c>
      <c r="C123" s="16" t="s">
        <v>27</v>
      </c>
      <c r="D123" s="16" t="s">
        <v>44</v>
      </c>
      <c r="E123" s="16" t="s">
        <v>40</v>
      </c>
      <c r="F123" s="17">
        <v>3900</v>
      </c>
      <c r="G123" s="18">
        <v>44881</v>
      </c>
      <c r="H123" s="16" t="s">
        <v>297</v>
      </c>
      <c r="I123" s="16">
        <v>4.4000000000000004</v>
      </c>
      <c r="J123" s="18">
        <v>46153</v>
      </c>
    </row>
    <row r="124" spans="1:10" x14ac:dyDescent="0.3">
      <c r="A124" s="16" t="s">
        <v>300</v>
      </c>
      <c r="B124" s="16" t="s">
        <v>301</v>
      </c>
      <c r="C124" s="16" t="s">
        <v>65</v>
      </c>
      <c r="D124" s="16" t="s">
        <v>66</v>
      </c>
      <c r="E124" s="16" t="s">
        <v>29</v>
      </c>
      <c r="F124" s="17">
        <v>2570</v>
      </c>
      <c r="G124" s="18">
        <v>44971</v>
      </c>
      <c r="H124" s="16" t="s">
        <v>297</v>
      </c>
      <c r="I124" s="16">
        <v>2.6</v>
      </c>
      <c r="J124" s="18">
        <v>46308</v>
      </c>
    </row>
    <row r="125" spans="1:10" x14ac:dyDescent="0.3">
      <c r="A125" s="16" t="s">
        <v>302</v>
      </c>
      <c r="B125" s="16" t="s">
        <v>303</v>
      </c>
      <c r="C125" s="16" t="s">
        <v>33</v>
      </c>
      <c r="D125" s="16" t="s">
        <v>131</v>
      </c>
      <c r="E125" s="16" t="s">
        <v>29</v>
      </c>
      <c r="F125" s="17">
        <v>2450</v>
      </c>
      <c r="G125" s="18">
        <v>45033</v>
      </c>
      <c r="H125" s="16" t="s">
        <v>297</v>
      </c>
      <c r="I125" s="16">
        <v>2.6</v>
      </c>
      <c r="J125" s="18">
        <v>46197</v>
      </c>
    </row>
    <row r="126" spans="1:10" x14ac:dyDescent="0.3">
      <c r="A126" s="16" t="s">
        <v>304</v>
      </c>
      <c r="B126" s="16" t="s">
        <v>305</v>
      </c>
      <c r="C126" s="16" t="s">
        <v>38</v>
      </c>
      <c r="D126" s="16" t="s">
        <v>39</v>
      </c>
      <c r="E126" s="16" t="s">
        <v>40</v>
      </c>
      <c r="F126" s="17">
        <v>3600</v>
      </c>
      <c r="G126" s="18">
        <v>45232</v>
      </c>
      <c r="H126" s="16" t="s">
        <v>297</v>
      </c>
      <c r="I126" s="16">
        <v>3.3</v>
      </c>
      <c r="J126" s="18">
        <v>46274</v>
      </c>
    </row>
    <row r="127" spans="1:10" x14ac:dyDescent="0.3">
      <c r="A127" s="16" t="s">
        <v>306</v>
      </c>
      <c r="B127" s="16" t="s">
        <v>307</v>
      </c>
      <c r="C127" s="16" t="s">
        <v>27</v>
      </c>
      <c r="D127" s="16" t="s">
        <v>28</v>
      </c>
      <c r="E127" s="16" t="s">
        <v>29</v>
      </c>
      <c r="F127" s="17">
        <v>2250</v>
      </c>
      <c r="G127" s="18">
        <v>45297</v>
      </c>
      <c r="H127" s="16" t="s">
        <v>297</v>
      </c>
      <c r="I127" s="16">
        <v>2.5</v>
      </c>
      <c r="J127" s="18">
        <v>46310</v>
      </c>
    </row>
    <row r="128" spans="1:10" x14ac:dyDescent="0.3">
      <c r="A128" s="16" t="s">
        <v>308</v>
      </c>
      <c r="B128" s="16" t="s">
        <v>309</v>
      </c>
      <c r="C128" s="16" t="s">
        <v>38</v>
      </c>
      <c r="D128" s="16" t="s">
        <v>39</v>
      </c>
      <c r="E128" s="16" t="s">
        <v>40</v>
      </c>
      <c r="F128" s="17">
        <v>3370</v>
      </c>
      <c r="G128" s="18">
        <v>45485</v>
      </c>
      <c r="H128" s="16" t="s">
        <v>297</v>
      </c>
      <c r="I128" s="16">
        <v>3.2</v>
      </c>
      <c r="J128" s="18">
        <v>46243</v>
      </c>
    </row>
    <row r="129" spans="1:10" x14ac:dyDescent="0.3">
      <c r="A129" s="16" t="s">
        <v>310</v>
      </c>
      <c r="B129" s="16" t="s">
        <v>311</v>
      </c>
      <c r="C129" s="16" t="s">
        <v>65</v>
      </c>
      <c r="D129" s="16" t="s">
        <v>66</v>
      </c>
      <c r="E129" s="16" t="s">
        <v>29</v>
      </c>
      <c r="F129" s="17">
        <v>3020</v>
      </c>
      <c r="G129" s="18">
        <v>45490</v>
      </c>
      <c r="H129" s="16" t="s">
        <v>297</v>
      </c>
      <c r="I129" s="16">
        <v>3.2</v>
      </c>
      <c r="J129" s="18">
        <v>46248</v>
      </c>
    </row>
    <row r="130" spans="1:10" x14ac:dyDescent="0.3">
      <c r="A130" s="16" t="s">
        <v>312</v>
      </c>
      <c r="B130" s="16" t="s">
        <v>313</v>
      </c>
      <c r="C130" s="16" t="s">
        <v>27</v>
      </c>
      <c r="D130" s="16" t="s">
        <v>72</v>
      </c>
      <c r="E130" s="16" t="s">
        <v>62</v>
      </c>
      <c r="F130" s="17">
        <v>3240</v>
      </c>
      <c r="G130" s="18">
        <v>45758</v>
      </c>
      <c r="H130" s="16" t="s">
        <v>297</v>
      </c>
      <c r="I130" s="16">
        <v>4.3</v>
      </c>
      <c r="J130" s="18">
        <v>46221</v>
      </c>
    </row>
    <row r="131" spans="1:10" x14ac:dyDescent="0.3">
      <c r="A131" s="16" t="s">
        <v>314</v>
      </c>
      <c r="B131" s="16" t="s">
        <v>315</v>
      </c>
      <c r="C131" s="16" t="s">
        <v>33</v>
      </c>
      <c r="D131" s="16" t="s">
        <v>34</v>
      </c>
      <c r="E131" s="16" t="s">
        <v>35</v>
      </c>
      <c r="F131" s="17">
        <v>2100</v>
      </c>
      <c r="G131" s="18">
        <v>45997</v>
      </c>
      <c r="H131" s="16" t="s">
        <v>297</v>
      </c>
      <c r="I131" s="16">
        <v>2.1</v>
      </c>
      <c r="J131" s="18">
        <v>46315</v>
      </c>
    </row>
    <row r="132" spans="1:10" x14ac:dyDescent="0.3">
      <c r="A132" s="16" t="s">
        <v>316</v>
      </c>
      <c r="B132" s="16" t="s">
        <v>317</v>
      </c>
      <c r="C132" s="16" t="s">
        <v>27</v>
      </c>
      <c r="D132" s="16" t="s">
        <v>72</v>
      </c>
      <c r="E132" s="16" t="s">
        <v>62</v>
      </c>
      <c r="F132" s="17">
        <v>2200</v>
      </c>
      <c r="G132" s="18">
        <v>46087</v>
      </c>
      <c r="H132" s="16" t="s">
        <v>297</v>
      </c>
      <c r="I132" s="16">
        <v>2.6</v>
      </c>
      <c r="J132" s="18">
        <v>46181</v>
      </c>
    </row>
    <row r="133" spans="1:10" x14ac:dyDescent="0.3">
      <c r="A133" s="16" t="s">
        <v>318</v>
      </c>
      <c r="B133" s="16" t="s">
        <v>319</v>
      </c>
      <c r="C133" s="16" t="s">
        <v>27</v>
      </c>
      <c r="D133" s="16" t="s">
        <v>72</v>
      </c>
      <c r="E133" s="16" t="s">
        <v>62</v>
      </c>
      <c r="F133" s="17">
        <v>3180</v>
      </c>
      <c r="G133" s="18">
        <v>46109</v>
      </c>
      <c r="H133" s="16" t="s">
        <v>297</v>
      </c>
      <c r="I133" s="16">
        <v>3.9</v>
      </c>
      <c r="J133" s="18">
        <v>46310</v>
      </c>
    </row>
    <row r="135" spans="1:10" x14ac:dyDescent="0.3">
      <c r="A135" s="19" t="s">
        <v>320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4CD7-6FD2-4046-90F1-2A256BB54A69}">
  <dimension ref="A3:H15"/>
  <sheetViews>
    <sheetView workbookViewId="0">
      <selection activeCell="B4" sqref="B4"/>
    </sheetView>
  </sheetViews>
  <sheetFormatPr baseColWidth="10" defaultRowHeight="14.4" x14ac:dyDescent="0.3"/>
  <cols>
    <col min="1" max="1" width="10.21875" bestFit="1" customWidth="1"/>
    <col min="2" max="2" width="12.6640625" bestFit="1" customWidth="1"/>
    <col min="3" max="3" width="15.33203125" bestFit="1" customWidth="1"/>
    <col min="4" max="4" width="16.5546875" bestFit="1" customWidth="1"/>
    <col min="5" max="5" width="24.6640625" bestFit="1" customWidth="1"/>
    <col min="6" max="6" width="5" bestFit="1" customWidth="1"/>
    <col min="7" max="7" width="16.5546875" bestFit="1" customWidth="1"/>
    <col min="8" max="8" width="17.33203125" bestFit="1" customWidth="1"/>
    <col min="9" max="136" width="5" bestFit="1" customWidth="1"/>
    <col min="137" max="137" width="11.88671875" bestFit="1" customWidth="1"/>
  </cols>
  <sheetData>
    <row r="3" spans="1:8" x14ac:dyDescent="0.3">
      <c r="A3" t="s">
        <v>402</v>
      </c>
      <c r="B3" t="s">
        <v>403</v>
      </c>
      <c r="C3" t="s">
        <v>404</v>
      </c>
    </row>
    <row r="4" spans="1:8" x14ac:dyDescent="0.3">
      <c r="A4" s="44">
        <v>120</v>
      </c>
      <c r="B4" s="43">
        <v>404470</v>
      </c>
      <c r="C4" s="43">
        <v>3370.5833333333335</v>
      </c>
    </row>
    <row r="8" spans="1:8" x14ac:dyDescent="0.3">
      <c r="A8" s="41" t="s">
        <v>400</v>
      </c>
      <c r="B8" t="s">
        <v>405</v>
      </c>
      <c r="D8" s="41" t="s">
        <v>400</v>
      </c>
      <c r="E8" t="s">
        <v>406</v>
      </c>
      <c r="G8" s="41" t="s">
        <v>400</v>
      </c>
      <c r="H8" t="s">
        <v>394</v>
      </c>
    </row>
    <row r="9" spans="1:8" x14ac:dyDescent="0.3">
      <c r="A9" s="42" t="s">
        <v>98</v>
      </c>
      <c r="B9" s="43">
        <v>3517.3333333333335</v>
      </c>
      <c r="D9" s="42" t="s">
        <v>98</v>
      </c>
      <c r="E9" s="44">
        <v>15</v>
      </c>
      <c r="G9" s="45" t="s">
        <v>407</v>
      </c>
      <c r="H9" s="44">
        <v>7</v>
      </c>
    </row>
    <row r="10" spans="1:8" x14ac:dyDescent="0.3">
      <c r="A10" s="42" t="s">
        <v>38</v>
      </c>
      <c r="B10" s="43">
        <v>3803.2432432432433</v>
      </c>
      <c r="D10" s="42" t="s">
        <v>38</v>
      </c>
      <c r="E10" s="44">
        <v>37</v>
      </c>
      <c r="G10" s="45" t="s">
        <v>408</v>
      </c>
      <c r="H10" s="44">
        <v>25</v>
      </c>
    </row>
    <row r="11" spans="1:8" x14ac:dyDescent="0.3">
      <c r="A11" s="42" t="s">
        <v>33</v>
      </c>
      <c r="B11" s="43">
        <v>3027.5</v>
      </c>
      <c r="D11" s="42" t="s">
        <v>33</v>
      </c>
      <c r="E11" s="44">
        <v>20</v>
      </c>
      <c r="G11" s="45" t="s">
        <v>409</v>
      </c>
      <c r="H11" s="44">
        <v>40</v>
      </c>
    </row>
    <row r="12" spans="1:8" x14ac:dyDescent="0.3">
      <c r="A12" s="42" t="s">
        <v>65</v>
      </c>
      <c r="B12" s="43">
        <v>3193.7931034482758</v>
      </c>
      <c r="D12" s="42" t="s">
        <v>65</v>
      </c>
      <c r="E12" s="44">
        <v>29</v>
      </c>
      <c r="G12" s="45" t="s">
        <v>410</v>
      </c>
      <c r="H12" s="44">
        <v>30</v>
      </c>
    </row>
    <row r="13" spans="1:8" x14ac:dyDescent="0.3">
      <c r="A13" s="42" t="s">
        <v>27</v>
      </c>
      <c r="B13" s="43">
        <v>3043.1578947368421</v>
      </c>
      <c r="D13" s="42" t="s">
        <v>27</v>
      </c>
      <c r="E13" s="44">
        <v>19</v>
      </c>
      <c r="G13" s="45" t="s">
        <v>411</v>
      </c>
      <c r="H13" s="44">
        <v>12</v>
      </c>
    </row>
    <row r="14" spans="1:8" x14ac:dyDescent="0.3">
      <c r="A14" s="42" t="s">
        <v>401</v>
      </c>
      <c r="B14" s="43">
        <v>3370.5833333333335</v>
      </c>
      <c r="D14" s="42" t="s">
        <v>401</v>
      </c>
      <c r="E14" s="44">
        <v>120</v>
      </c>
      <c r="G14" s="45" t="s">
        <v>412</v>
      </c>
      <c r="H14" s="44">
        <v>6</v>
      </c>
    </row>
    <row r="15" spans="1:8" x14ac:dyDescent="0.3">
      <c r="G15" s="45" t="s">
        <v>401</v>
      </c>
      <c r="H15" s="44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F909-51B6-4037-B54E-5BB0D73A44A4}">
  <dimension ref="D1:L14"/>
  <sheetViews>
    <sheetView showGridLines="0" zoomScale="73" zoomScaleNormal="73" workbookViewId="0">
      <selection activeCell="E28" sqref="E28"/>
    </sheetView>
  </sheetViews>
  <sheetFormatPr baseColWidth="10" defaultRowHeight="14.4" x14ac:dyDescent="0.3"/>
  <cols>
    <col min="4" max="4" width="15.109375" customWidth="1"/>
    <col min="5" max="5" width="15.44140625" customWidth="1"/>
    <col min="6" max="6" width="15.77734375" customWidth="1"/>
    <col min="7" max="7" width="12.33203125" customWidth="1"/>
    <col min="8" max="8" width="16.6640625" customWidth="1"/>
    <col min="9" max="9" width="9.109375" customWidth="1"/>
    <col min="10" max="10" width="16.77734375" customWidth="1"/>
    <col min="11" max="11" width="15.77734375" customWidth="1"/>
  </cols>
  <sheetData>
    <row r="1" spans="4:12" ht="25.8" x14ac:dyDescent="0.3">
      <c r="D1" s="51" t="s">
        <v>413</v>
      </c>
      <c r="E1" s="51"/>
      <c r="F1" s="51"/>
    </row>
    <row r="2" spans="4:12" x14ac:dyDescent="0.3">
      <c r="D2" s="46"/>
      <c r="E2" s="46"/>
      <c r="F2" s="46"/>
      <c r="G2" s="46"/>
    </row>
    <row r="3" spans="4:12" ht="18" x14ac:dyDescent="0.3">
      <c r="D3" s="48" t="s">
        <v>402</v>
      </c>
      <c r="E3" s="48"/>
      <c r="F3" s="48"/>
      <c r="G3" s="48" t="s">
        <v>414</v>
      </c>
      <c r="H3" s="48"/>
      <c r="I3" s="48"/>
      <c r="J3" s="48" t="s">
        <v>404</v>
      </c>
      <c r="K3" s="48"/>
      <c r="L3" s="48"/>
    </row>
    <row r="4" spans="4:12" ht="23.4" x14ac:dyDescent="0.3">
      <c r="D4" s="49">
        <f>GETPIVOTDATA("Empleados",Tablas_Pivot!$A$3)</f>
        <v>120</v>
      </c>
      <c r="E4" s="49"/>
      <c r="F4" s="49"/>
      <c r="G4" s="50">
        <f>GETPIVOTDATA("Costo nómina",Tablas_Pivot!$A$3)</f>
        <v>404470</v>
      </c>
      <c r="H4" s="50"/>
      <c r="I4" s="50"/>
      <c r="J4" s="50">
        <f>GETPIVOTDATA("Salario promedio",Tablas_Pivot!$A$3)</f>
        <v>3370.5833333333335</v>
      </c>
      <c r="K4" s="50"/>
      <c r="L4" s="50"/>
    </row>
    <row r="5" spans="4:12" x14ac:dyDescent="0.3">
      <c r="D5" s="47"/>
      <c r="E5" s="47"/>
      <c r="F5" s="47"/>
      <c r="G5" s="46"/>
      <c r="H5" s="46"/>
      <c r="I5" s="46"/>
      <c r="J5" s="46"/>
      <c r="K5" s="46"/>
      <c r="L5" s="46"/>
    </row>
    <row r="6" spans="4:12" x14ac:dyDescent="0.3">
      <c r="D6" s="47"/>
      <c r="E6" s="47"/>
      <c r="F6" s="47"/>
      <c r="G6" s="46"/>
      <c r="H6" s="46"/>
      <c r="I6" s="46"/>
      <c r="J6" s="46"/>
      <c r="K6" s="46"/>
      <c r="L6" s="46"/>
    </row>
    <row r="7" spans="4:12" x14ac:dyDescent="0.3">
      <c r="D7" s="47"/>
      <c r="E7" s="47"/>
      <c r="F7" s="47"/>
      <c r="G7" s="46"/>
      <c r="H7" s="46"/>
      <c r="I7" s="46"/>
      <c r="J7" s="46"/>
      <c r="K7" s="46"/>
      <c r="L7" s="46"/>
    </row>
    <row r="8" spans="4:12" x14ac:dyDescent="0.3">
      <c r="D8" s="47"/>
      <c r="E8" s="47"/>
      <c r="F8" s="47"/>
      <c r="G8" s="46"/>
      <c r="H8" s="46"/>
      <c r="I8" s="46"/>
      <c r="J8" s="46"/>
      <c r="K8" s="46"/>
      <c r="L8" s="46"/>
    </row>
    <row r="9" spans="4:12" x14ac:dyDescent="0.3">
      <c r="D9" s="47"/>
      <c r="E9" s="47"/>
      <c r="F9" s="47"/>
      <c r="G9" s="46"/>
      <c r="H9" s="46"/>
      <c r="I9" s="46"/>
      <c r="J9" s="46"/>
      <c r="K9" s="46"/>
      <c r="L9" s="46"/>
    </row>
    <row r="10" spans="4:12" x14ac:dyDescent="0.3">
      <c r="D10" s="47"/>
      <c r="E10" s="47"/>
      <c r="F10" s="47"/>
      <c r="G10" s="46"/>
      <c r="H10" s="46"/>
      <c r="I10" s="46"/>
      <c r="J10" s="46"/>
      <c r="K10" s="46"/>
      <c r="L10" s="46"/>
    </row>
    <row r="11" spans="4:12" x14ac:dyDescent="0.3">
      <c r="D11" s="47"/>
      <c r="E11" s="47"/>
      <c r="F11" s="47"/>
      <c r="G11" s="46"/>
      <c r="H11" s="46"/>
      <c r="I11" s="46"/>
      <c r="J11" s="46"/>
      <c r="K11" s="46"/>
      <c r="L11" s="46"/>
    </row>
    <row r="12" spans="4:12" x14ac:dyDescent="0.3">
      <c r="D12" s="46"/>
      <c r="E12" s="46"/>
      <c r="F12" s="46"/>
      <c r="G12" s="46"/>
      <c r="H12" s="46"/>
      <c r="I12" s="46"/>
      <c r="J12" s="46"/>
      <c r="K12" s="46"/>
      <c r="L12" s="46"/>
    </row>
    <row r="13" spans="4:12" x14ac:dyDescent="0.3">
      <c r="D13" s="46"/>
      <c r="E13" s="46"/>
      <c r="F13" s="46"/>
      <c r="G13" s="46"/>
      <c r="J13" s="46"/>
      <c r="K13" s="46"/>
      <c r="L13" s="46"/>
    </row>
    <row r="14" spans="4:12" x14ac:dyDescent="0.3">
      <c r="D14" s="46"/>
      <c r="E14" s="46"/>
      <c r="F14" s="46"/>
      <c r="G14" s="46"/>
    </row>
  </sheetData>
  <mergeCells count="7">
    <mergeCell ref="D4:F4"/>
    <mergeCell ref="J3:L3"/>
    <mergeCell ref="D1:F1"/>
    <mergeCell ref="D3:F3"/>
    <mergeCell ref="G3:I3"/>
    <mergeCell ref="J4:L4"/>
    <mergeCell ref="G4:I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3" customWidth="1"/>
    <col min="2" max="2" width="14" customWidth="1"/>
    <col min="3" max="6" width="12" customWidth="1"/>
    <col min="7" max="7" width="14" customWidth="1"/>
    <col min="8" max="8" width="12" customWidth="1"/>
  </cols>
  <sheetData>
    <row r="1" spans="1:8" ht="27.6" x14ac:dyDescent="0.3">
      <c r="A1" s="15" t="s">
        <v>15</v>
      </c>
      <c r="B1" s="15" t="s">
        <v>17</v>
      </c>
      <c r="C1" s="15" t="s">
        <v>321</v>
      </c>
      <c r="D1" s="15" t="s">
        <v>322</v>
      </c>
      <c r="E1" s="15" t="s">
        <v>323</v>
      </c>
      <c r="F1" s="15" t="s">
        <v>324</v>
      </c>
      <c r="G1" s="15" t="s">
        <v>325</v>
      </c>
      <c r="H1" s="15" t="s">
        <v>326</v>
      </c>
    </row>
    <row r="2" spans="1:8" x14ac:dyDescent="0.3">
      <c r="A2" s="16" t="s">
        <v>25</v>
      </c>
      <c r="B2" s="16" t="str">
        <f t="shared" ref="B2:B33" si="0">INDEX(Datos_Departamento,MATCH(A2,Datos_ID,0))</f>
        <v>Ventas</v>
      </c>
      <c r="C2" s="16" t="s">
        <v>327</v>
      </c>
      <c r="D2" s="16" t="s">
        <v>327</v>
      </c>
      <c r="E2" s="16" t="s">
        <v>328</v>
      </c>
      <c r="F2" s="16" t="s">
        <v>327</v>
      </c>
      <c r="G2" s="16" t="s">
        <v>327</v>
      </c>
      <c r="H2" s="16" t="s">
        <v>327</v>
      </c>
    </row>
    <row r="3" spans="1:8" x14ac:dyDescent="0.3">
      <c r="A3" s="16" t="s">
        <v>31</v>
      </c>
      <c r="B3" s="16" t="str">
        <f t="shared" si="0"/>
        <v>Operaciones</v>
      </c>
      <c r="C3" s="16" t="s">
        <v>327</v>
      </c>
      <c r="D3" s="16" t="s">
        <v>327</v>
      </c>
      <c r="E3" s="16" t="s">
        <v>327</v>
      </c>
      <c r="F3" s="16" t="s">
        <v>327</v>
      </c>
      <c r="G3" s="16" t="s">
        <v>327</v>
      </c>
      <c r="H3" s="16" t="s">
        <v>327</v>
      </c>
    </row>
    <row r="4" spans="1:8" x14ac:dyDescent="0.3">
      <c r="A4" s="16" t="s">
        <v>36</v>
      </c>
      <c r="B4" s="16" t="str">
        <f t="shared" si="0"/>
        <v>IT</v>
      </c>
      <c r="C4" s="16" t="s">
        <v>328</v>
      </c>
      <c r="D4" s="16" t="s">
        <v>327</v>
      </c>
      <c r="E4" s="16" t="s">
        <v>327</v>
      </c>
      <c r="F4" s="16" t="s">
        <v>327</v>
      </c>
      <c r="G4" s="16" t="s">
        <v>327</v>
      </c>
      <c r="H4" s="16" t="s">
        <v>327</v>
      </c>
    </row>
    <row r="5" spans="1:8" x14ac:dyDescent="0.3">
      <c r="A5" s="16" t="s">
        <v>42</v>
      </c>
      <c r="B5" s="16" t="str">
        <f t="shared" si="0"/>
        <v>Ventas</v>
      </c>
      <c r="C5" s="16" t="s">
        <v>327</v>
      </c>
      <c r="D5" s="16" t="s">
        <v>327</v>
      </c>
      <c r="E5" s="16" t="s">
        <v>327</v>
      </c>
      <c r="F5" s="16" t="s">
        <v>327</v>
      </c>
      <c r="G5" s="16" t="s">
        <v>327</v>
      </c>
      <c r="H5" s="16" t="s">
        <v>328</v>
      </c>
    </row>
    <row r="6" spans="1:8" x14ac:dyDescent="0.3">
      <c r="A6" s="16" t="s">
        <v>45</v>
      </c>
      <c r="B6" s="16" t="str">
        <f t="shared" si="0"/>
        <v>IT</v>
      </c>
      <c r="C6" s="16" t="s">
        <v>327</v>
      </c>
      <c r="D6" s="16" t="s">
        <v>327</v>
      </c>
      <c r="E6" s="16" t="s">
        <v>327</v>
      </c>
      <c r="F6" s="16" t="s">
        <v>327</v>
      </c>
      <c r="G6" s="16" t="s">
        <v>327</v>
      </c>
      <c r="H6" s="16" t="s">
        <v>327</v>
      </c>
    </row>
    <row r="7" spans="1:8" x14ac:dyDescent="0.3">
      <c r="A7" s="16" t="s">
        <v>48</v>
      </c>
      <c r="B7" s="16" t="str">
        <f t="shared" si="0"/>
        <v>IT</v>
      </c>
      <c r="C7" s="16" t="s">
        <v>327</v>
      </c>
      <c r="D7" s="16" t="s">
        <v>327</v>
      </c>
      <c r="E7" s="16" t="s">
        <v>327</v>
      </c>
      <c r="F7" s="16" t="s">
        <v>327</v>
      </c>
      <c r="G7" s="16" t="s">
        <v>327</v>
      </c>
      <c r="H7" s="16" t="s">
        <v>327</v>
      </c>
    </row>
    <row r="8" spans="1:8" x14ac:dyDescent="0.3">
      <c r="A8" s="16" t="s">
        <v>51</v>
      </c>
      <c r="B8" s="16" t="str">
        <f t="shared" si="0"/>
        <v>IT</v>
      </c>
      <c r="C8" s="16" t="s">
        <v>327</v>
      </c>
      <c r="D8" s="16" t="s">
        <v>327</v>
      </c>
      <c r="E8" s="16" t="s">
        <v>327</v>
      </c>
      <c r="F8" s="16" t="s">
        <v>327</v>
      </c>
      <c r="G8" s="16" t="s">
        <v>327</v>
      </c>
      <c r="H8" s="16" t="s">
        <v>327</v>
      </c>
    </row>
    <row r="9" spans="1:8" x14ac:dyDescent="0.3">
      <c r="A9" s="16" t="s">
        <v>53</v>
      </c>
      <c r="B9" s="16" t="str">
        <f t="shared" si="0"/>
        <v>IT</v>
      </c>
      <c r="C9" s="16" t="s">
        <v>327</v>
      </c>
      <c r="D9" s="16" t="s">
        <v>327</v>
      </c>
      <c r="E9" s="16" t="s">
        <v>327</v>
      </c>
      <c r="F9" s="16" t="s">
        <v>327</v>
      </c>
      <c r="G9" s="16" t="s">
        <v>327</v>
      </c>
      <c r="H9" s="16" t="s">
        <v>327</v>
      </c>
    </row>
    <row r="10" spans="1:8" x14ac:dyDescent="0.3">
      <c r="A10" s="16" t="s">
        <v>55</v>
      </c>
      <c r="B10" s="16" t="str">
        <f t="shared" si="0"/>
        <v>Operaciones</v>
      </c>
      <c r="C10" s="16" t="s">
        <v>327</v>
      </c>
      <c r="D10" s="16" t="s">
        <v>327</v>
      </c>
      <c r="E10" s="16" t="s">
        <v>327</v>
      </c>
      <c r="F10" s="16" t="s">
        <v>327</v>
      </c>
      <c r="G10" s="16" t="s">
        <v>327</v>
      </c>
      <c r="H10" s="16" t="s">
        <v>327</v>
      </c>
    </row>
    <row r="11" spans="1:8" x14ac:dyDescent="0.3">
      <c r="A11" s="16" t="s">
        <v>57</v>
      </c>
      <c r="B11" s="16" t="str">
        <f t="shared" si="0"/>
        <v>IT</v>
      </c>
      <c r="C11" s="16" t="s">
        <v>327</v>
      </c>
      <c r="D11" s="16" t="s">
        <v>327</v>
      </c>
      <c r="E11" s="16" t="s">
        <v>327</v>
      </c>
      <c r="F11" s="16" t="s">
        <v>327</v>
      </c>
      <c r="G11" s="16" t="s">
        <v>327</v>
      </c>
      <c r="H11" s="16" t="s">
        <v>327</v>
      </c>
    </row>
    <row r="12" spans="1:8" x14ac:dyDescent="0.3">
      <c r="A12" s="16" t="s">
        <v>59</v>
      </c>
      <c r="B12" s="16" t="str">
        <f t="shared" si="0"/>
        <v>IT</v>
      </c>
      <c r="C12" s="16" t="s">
        <v>327</v>
      </c>
      <c r="D12" s="16" t="s">
        <v>327</v>
      </c>
      <c r="E12" s="16" t="s">
        <v>327</v>
      </c>
      <c r="F12" s="16" t="s">
        <v>327</v>
      </c>
      <c r="G12" s="16" t="s">
        <v>327</v>
      </c>
      <c r="H12" s="16" t="s">
        <v>327</v>
      </c>
    </row>
    <row r="13" spans="1:8" x14ac:dyDescent="0.3">
      <c r="A13" s="16" t="s">
        <v>63</v>
      </c>
      <c r="B13" s="16" t="str">
        <f t="shared" si="0"/>
        <v>RRHH</v>
      </c>
      <c r="C13" s="16" t="s">
        <v>327</v>
      </c>
      <c r="D13" s="16" t="s">
        <v>327</v>
      </c>
      <c r="E13" s="16" t="s">
        <v>327</v>
      </c>
      <c r="F13" s="16" t="s">
        <v>327</v>
      </c>
      <c r="G13" s="16" t="s">
        <v>327</v>
      </c>
      <c r="H13" s="16" t="s">
        <v>327</v>
      </c>
    </row>
    <row r="14" spans="1:8" x14ac:dyDescent="0.3">
      <c r="A14" s="16" t="s">
        <v>67</v>
      </c>
      <c r="B14" s="16" t="str">
        <f t="shared" si="0"/>
        <v>Operaciones</v>
      </c>
      <c r="C14" s="16" t="s">
        <v>327</v>
      </c>
      <c r="D14" s="16" t="s">
        <v>327</v>
      </c>
      <c r="E14" s="16" t="s">
        <v>327</v>
      </c>
      <c r="F14" s="16" t="s">
        <v>327</v>
      </c>
      <c r="G14" s="16" t="s">
        <v>327</v>
      </c>
      <c r="H14" s="16" t="s">
        <v>327</v>
      </c>
    </row>
    <row r="15" spans="1:8" x14ac:dyDescent="0.3">
      <c r="A15" s="16" t="s">
        <v>70</v>
      </c>
      <c r="B15" s="16" t="str">
        <f t="shared" si="0"/>
        <v>Ventas</v>
      </c>
      <c r="C15" s="16" t="s">
        <v>327</v>
      </c>
      <c r="D15" s="16" t="s">
        <v>327</v>
      </c>
      <c r="E15" s="16" t="s">
        <v>327</v>
      </c>
      <c r="F15" s="16" t="s">
        <v>327</v>
      </c>
      <c r="G15" s="16" t="s">
        <v>327</v>
      </c>
      <c r="H15" s="16" t="s">
        <v>327</v>
      </c>
    </row>
    <row r="16" spans="1:8" x14ac:dyDescent="0.3">
      <c r="A16" s="16" t="s">
        <v>73</v>
      </c>
      <c r="B16" s="16" t="str">
        <f t="shared" si="0"/>
        <v>RRHH</v>
      </c>
      <c r="C16" s="16" t="s">
        <v>327</v>
      </c>
      <c r="D16" s="16" t="s">
        <v>327</v>
      </c>
      <c r="E16" s="16" t="s">
        <v>327</v>
      </c>
      <c r="F16" s="16" t="s">
        <v>327</v>
      </c>
      <c r="G16" s="16" t="s">
        <v>327</v>
      </c>
      <c r="H16" s="16" t="s">
        <v>327</v>
      </c>
    </row>
    <row r="17" spans="1:8" x14ac:dyDescent="0.3">
      <c r="A17" s="16" t="s">
        <v>76</v>
      </c>
      <c r="B17" s="16" t="str">
        <f t="shared" si="0"/>
        <v>IT</v>
      </c>
      <c r="C17" s="16" t="s">
        <v>327</v>
      </c>
      <c r="D17" s="16" t="s">
        <v>328</v>
      </c>
      <c r="E17" s="16" t="s">
        <v>327</v>
      </c>
      <c r="F17" s="16" t="s">
        <v>327</v>
      </c>
      <c r="G17" s="16" t="s">
        <v>327</v>
      </c>
      <c r="H17" s="16" t="s">
        <v>327</v>
      </c>
    </row>
    <row r="18" spans="1:8" x14ac:dyDescent="0.3">
      <c r="A18" s="16" t="s">
        <v>79</v>
      </c>
      <c r="B18" s="16" t="str">
        <f t="shared" si="0"/>
        <v>IT</v>
      </c>
      <c r="C18" s="16" t="s">
        <v>327</v>
      </c>
      <c r="D18" s="16" t="s">
        <v>327</v>
      </c>
      <c r="E18" s="16" t="s">
        <v>327</v>
      </c>
      <c r="F18" s="16" t="s">
        <v>327</v>
      </c>
      <c r="G18" s="16" t="s">
        <v>327</v>
      </c>
      <c r="H18" s="16" t="s">
        <v>327</v>
      </c>
    </row>
    <row r="19" spans="1:8" x14ac:dyDescent="0.3">
      <c r="A19" s="16" t="s">
        <v>81</v>
      </c>
      <c r="B19" s="16" t="str">
        <f t="shared" si="0"/>
        <v>Ventas</v>
      </c>
      <c r="C19" s="16" t="s">
        <v>327</v>
      </c>
      <c r="D19" s="16" t="s">
        <v>327</v>
      </c>
      <c r="E19" s="16" t="s">
        <v>327</v>
      </c>
      <c r="F19" s="16" t="s">
        <v>327</v>
      </c>
      <c r="G19" s="16" t="s">
        <v>327</v>
      </c>
      <c r="H19" s="16" t="s">
        <v>327</v>
      </c>
    </row>
    <row r="20" spans="1:8" x14ac:dyDescent="0.3">
      <c r="A20" s="16" t="s">
        <v>83</v>
      </c>
      <c r="B20" s="16" t="str">
        <f t="shared" si="0"/>
        <v>IT</v>
      </c>
      <c r="C20" s="16" t="s">
        <v>327</v>
      </c>
      <c r="D20" s="16" t="s">
        <v>327</v>
      </c>
      <c r="E20" s="16" t="s">
        <v>327</v>
      </c>
      <c r="F20" s="16" t="s">
        <v>327</v>
      </c>
      <c r="G20" s="16" t="s">
        <v>327</v>
      </c>
      <c r="H20" s="16" t="s">
        <v>327</v>
      </c>
    </row>
    <row r="21" spans="1:8" x14ac:dyDescent="0.3">
      <c r="A21" s="16" t="s">
        <v>85</v>
      </c>
      <c r="B21" s="16" t="str">
        <f t="shared" si="0"/>
        <v>Ventas</v>
      </c>
      <c r="C21" s="16" t="s">
        <v>327</v>
      </c>
      <c r="D21" s="16" t="s">
        <v>327</v>
      </c>
      <c r="E21" s="16" t="s">
        <v>327</v>
      </c>
      <c r="F21" s="16" t="s">
        <v>327</v>
      </c>
      <c r="G21" s="16" t="s">
        <v>327</v>
      </c>
      <c r="H21" s="16" t="s">
        <v>327</v>
      </c>
    </row>
    <row r="22" spans="1:8" x14ac:dyDescent="0.3">
      <c r="A22" s="16" t="s">
        <v>87</v>
      </c>
      <c r="B22" s="16" t="str">
        <f t="shared" si="0"/>
        <v>IT</v>
      </c>
      <c r="C22" s="16" t="s">
        <v>327</v>
      </c>
      <c r="D22" s="16" t="s">
        <v>327</v>
      </c>
      <c r="E22" s="16" t="s">
        <v>327</v>
      </c>
      <c r="F22" s="16" t="s">
        <v>327</v>
      </c>
      <c r="G22" s="16" t="s">
        <v>328</v>
      </c>
      <c r="H22" s="16" t="s">
        <v>327</v>
      </c>
    </row>
    <row r="23" spans="1:8" x14ac:dyDescent="0.3">
      <c r="A23" s="16" t="s">
        <v>89</v>
      </c>
      <c r="B23" s="16" t="str">
        <f t="shared" si="0"/>
        <v>RRHH</v>
      </c>
      <c r="C23" s="16" t="s">
        <v>327</v>
      </c>
      <c r="D23" s="16" t="s">
        <v>327</v>
      </c>
      <c r="E23" s="16" t="s">
        <v>327</v>
      </c>
      <c r="F23" s="16" t="s">
        <v>327</v>
      </c>
      <c r="G23" s="16" t="s">
        <v>327</v>
      </c>
      <c r="H23" s="16" t="s">
        <v>327</v>
      </c>
    </row>
    <row r="24" spans="1:8" x14ac:dyDescent="0.3">
      <c r="A24" s="16" t="s">
        <v>92</v>
      </c>
      <c r="B24" s="16" t="str">
        <f t="shared" si="0"/>
        <v>Operaciones</v>
      </c>
      <c r="C24" s="16" t="s">
        <v>327</v>
      </c>
      <c r="D24" s="16" t="s">
        <v>327</v>
      </c>
      <c r="E24" s="16" t="s">
        <v>327</v>
      </c>
      <c r="F24" s="16" t="s">
        <v>327</v>
      </c>
      <c r="G24" s="16" t="s">
        <v>327</v>
      </c>
      <c r="H24" s="16" t="s">
        <v>327</v>
      </c>
    </row>
    <row r="25" spans="1:8" x14ac:dyDescent="0.3">
      <c r="A25" s="16" t="s">
        <v>94</v>
      </c>
      <c r="B25" s="16" t="str">
        <f t="shared" si="0"/>
        <v>Operaciones</v>
      </c>
      <c r="C25" s="16" t="s">
        <v>327</v>
      </c>
      <c r="D25" s="16" t="s">
        <v>327</v>
      </c>
      <c r="E25" s="16" t="s">
        <v>327</v>
      </c>
      <c r="F25" s="16" t="s">
        <v>327</v>
      </c>
      <c r="G25" s="16" t="s">
        <v>327</v>
      </c>
      <c r="H25" s="16" t="s">
        <v>327</v>
      </c>
    </row>
    <row r="26" spans="1:8" x14ac:dyDescent="0.3">
      <c r="A26" s="16" t="s">
        <v>96</v>
      </c>
      <c r="B26" s="16" t="str">
        <f t="shared" si="0"/>
        <v>Finanzas</v>
      </c>
      <c r="C26" s="16" t="s">
        <v>327</v>
      </c>
      <c r="D26" s="16" t="s">
        <v>327</v>
      </c>
      <c r="E26" s="16" t="s">
        <v>327</v>
      </c>
      <c r="F26" s="16" t="s">
        <v>327</v>
      </c>
      <c r="G26" s="16" t="s">
        <v>327</v>
      </c>
      <c r="H26" s="16" t="s">
        <v>327</v>
      </c>
    </row>
    <row r="27" spans="1:8" x14ac:dyDescent="0.3">
      <c r="A27" s="16" t="s">
        <v>100</v>
      </c>
      <c r="B27" s="16" t="str">
        <f t="shared" si="0"/>
        <v>Ventas</v>
      </c>
      <c r="C27" s="16" t="s">
        <v>327</v>
      </c>
      <c r="D27" s="16" t="s">
        <v>327</v>
      </c>
      <c r="E27" s="16" t="s">
        <v>327</v>
      </c>
      <c r="F27" s="16" t="s">
        <v>327</v>
      </c>
      <c r="G27" s="16" t="s">
        <v>327</v>
      </c>
      <c r="H27" s="16" t="s">
        <v>327</v>
      </c>
    </row>
    <row r="28" spans="1:8" x14ac:dyDescent="0.3">
      <c r="A28" s="16" t="s">
        <v>102</v>
      </c>
      <c r="B28" s="16" t="str">
        <f t="shared" si="0"/>
        <v>RRHH</v>
      </c>
      <c r="C28" s="16" t="s">
        <v>327</v>
      </c>
      <c r="D28" s="16" t="s">
        <v>327</v>
      </c>
      <c r="E28" s="16" t="s">
        <v>327</v>
      </c>
      <c r="F28" s="16" t="s">
        <v>327</v>
      </c>
      <c r="G28" s="16" t="s">
        <v>327</v>
      </c>
      <c r="H28" s="16" t="s">
        <v>327</v>
      </c>
    </row>
    <row r="29" spans="1:8" x14ac:dyDescent="0.3">
      <c r="A29" s="16" t="s">
        <v>104</v>
      </c>
      <c r="B29" s="16" t="str">
        <f t="shared" si="0"/>
        <v>IT</v>
      </c>
      <c r="C29" s="16" t="s">
        <v>327</v>
      </c>
      <c r="D29" s="16" t="s">
        <v>327</v>
      </c>
      <c r="E29" s="16" t="s">
        <v>327</v>
      </c>
      <c r="F29" s="16" t="s">
        <v>327</v>
      </c>
      <c r="G29" s="16" t="s">
        <v>327</v>
      </c>
      <c r="H29" s="16" t="s">
        <v>327</v>
      </c>
    </row>
    <row r="30" spans="1:8" x14ac:dyDescent="0.3">
      <c r="A30" s="16" t="s">
        <v>106</v>
      </c>
      <c r="B30" s="16" t="str">
        <f t="shared" si="0"/>
        <v>RRHH</v>
      </c>
      <c r="C30" s="16" t="s">
        <v>327</v>
      </c>
      <c r="D30" s="16" t="s">
        <v>327</v>
      </c>
      <c r="E30" s="16" t="s">
        <v>327</v>
      </c>
      <c r="F30" s="16" t="s">
        <v>327</v>
      </c>
      <c r="G30" s="16" t="s">
        <v>327</v>
      </c>
      <c r="H30" s="16" t="s">
        <v>327</v>
      </c>
    </row>
    <row r="31" spans="1:8" x14ac:dyDescent="0.3">
      <c r="A31" s="16" t="s">
        <v>108</v>
      </c>
      <c r="B31" s="16" t="str">
        <f t="shared" si="0"/>
        <v>IT</v>
      </c>
      <c r="C31" s="16" t="s">
        <v>327</v>
      </c>
      <c r="D31" s="16" t="s">
        <v>327</v>
      </c>
      <c r="E31" s="16" t="s">
        <v>327</v>
      </c>
      <c r="F31" s="16" t="s">
        <v>327</v>
      </c>
      <c r="G31" s="16" t="s">
        <v>327</v>
      </c>
      <c r="H31" s="16" t="s">
        <v>327</v>
      </c>
    </row>
    <row r="32" spans="1:8" x14ac:dyDescent="0.3">
      <c r="A32" s="16" t="s">
        <v>110</v>
      </c>
      <c r="B32" s="16" t="str">
        <f t="shared" si="0"/>
        <v>RRHH</v>
      </c>
      <c r="C32" s="16" t="s">
        <v>327</v>
      </c>
      <c r="D32" s="16" t="s">
        <v>327</v>
      </c>
      <c r="E32" s="16" t="s">
        <v>327</v>
      </c>
      <c r="F32" s="16" t="s">
        <v>327</v>
      </c>
      <c r="G32" s="16" t="s">
        <v>327</v>
      </c>
      <c r="H32" s="16" t="s">
        <v>327</v>
      </c>
    </row>
    <row r="33" spans="1:8" x14ac:dyDescent="0.3">
      <c r="A33" s="16" t="s">
        <v>112</v>
      </c>
      <c r="B33" s="16" t="str">
        <f t="shared" si="0"/>
        <v>RRHH</v>
      </c>
      <c r="C33" s="16" t="s">
        <v>327</v>
      </c>
      <c r="D33" s="16" t="s">
        <v>327</v>
      </c>
      <c r="E33" s="16" t="s">
        <v>327</v>
      </c>
      <c r="F33" s="16" t="s">
        <v>327</v>
      </c>
      <c r="G33" s="16" t="s">
        <v>327</v>
      </c>
      <c r="H33" s="16" t="s">
        <v>327</v>
      </c>
    </row>
    <row r="34" spans="1:8" x14ac:dyDescent="0.3">
      <c r="A34" s="16" t="s">
        <v>114</v>
      </c>
      <c r="B34" s="16" t="str">
        <f t="shared" ref="B34:B65" si="1">INDEX(Datos_Departamento,MATCH(A34,Datos_ID,0))</f>
        <v>Ventas</v>
      </c>
      <c r="C34" s="16" t="s">
        <v>327</v>
      </c>
      <c r="D34" s="16" t="s">
        <v>327</v>
      </c>
      <c r="E34" s="16" t="s">
        <v>327</v>
      </c>
      <c r="F34" s="16" t="s">
        <v>327</v>
      </c>
      <c r="G34" s="16" t="s">
        <v>327</v>
      </c>
      <c r="H34" s="16" t="s">
        <v>327</v>
      </c>
    </row>
    <row r="35" spans="1:8" x14ac:dyDescent="0.3">
      <c r="A35" s="16" t="s">
        <v>116</v>
      </c>
      <c r="B35" s="16" t="str">
        <f t="shared" si="1"/>
        <v>IT</v>
      </c>
      <c r="C35" s="16" t="s">
        <v>327</v>
      </c>
      <c r="D35" s="16" t="s">
        <v>327</v>
      </c>
      <c r="E35" s="16" t="s">
        <v>327</v>
      </c>
      <c r="F35" s="16" t="s">
        <v>327</v>
      </c>
      <c r="G35" s="16" t="s">
        <v>327</v>
      </c>
      <c r="H35" s="16" t="s">
        <v>327</v>
      </c>
    </row>
    <row r="36" spans="1:8" x14ac:dyDescent="0.3">
      <c r="A36" s="16" t="s">
        <v>118</v>
      </c>
      <c r="B36" s="16" t="str">
        <f t="shared" si="1"/>
        <v>Finanzas</v>
      </c>
      <c r="C36" s="16" t="s">
        <v>327</v>
      </c>
      <c r="D36" s="16" t="s">
        <v>327</v>
      </c>
      <c r="E36" s="16" t="s">
        <v>327</v>
      </c>
      <c r="F36" s="16" t="s">
        <v>327</v>
      </c>
      <c r="G36" s="16" t="s">
        <v>327</v>
      </c>
      <c r="H36" s="16" t="s">
        <v>327</v>
      </c>
    </row>
    <row r="37" spans="1:8" x14ac:dyDescent="0.3">
      <c r="A37" s="16" t="s">
        <v>120</v>
      </c>
      <c r="B37" s="16" t="str">
        <f t="shared" si="1"/>
        <v>Operaciones</v>
      </c>
      <c r="C37" s="16" t="s">
        <v>327</v>
      </c>
      <c r="D37" s="16" t="s">
        <v>327</v>
      </c>
      <c r="E37" s="16" t="s">
        <v>327</v>
      </c>
      <c r="F37" s="16" t="s">
        <v>327</v>
      </c>
      <c r="G37" s="16" t="s">
        <v>327</v>
      </c>
      <c r="H37" s="16" t="s">
        <v>327</v>
      </c>
    </row>
    <row r="38" spans="1:8" x14ac:dyDescent="0.3">
      <c r="A38" s="16" t="s">
        <v>122</v>
      </c>
      <c r="B38" s="16" t="str">
        <f t="shared" si="1"/>
        <v>Finanzas</v>
      </c>
      <c r="C38" s="16" t="s">
        <v>327</v>
      </c>
      <c r="D38" s="16" t="s">
        <v>327</v>
      </c>
      <c r="E38" s="16" t="s">
        <v>327</v>
      </c>
      <c r="F38" s="16" t="s">
        <v>327</v>
      </c>
      <c r="G38" s="16" t="s">
        <v>327</v>
      </c>
      <c r="H38" s="16" t="s">
        <v>327</v>
      </c>
    </row>
    <row r="39" spans="1:8" x14ac:dyDescent="0.3">
      <c r="A39" s="16" t="s">
        <v>124</v>
      </c>
      <c r="B39" s="16" t="str">
        <f t="shared" si="1"/>
        <v>Finanzas</v>
      </c>
      <c r="C39" s="16" t="s">
        <v>327</v>
      </c>
      <c r="D39" s="16" t="s">
        <v>327</v>
      </c>
      <c r="E39" s="16" t="s">
        <v>327</v>
      </c>
      <c r="F39" s="16" t="s">
        <v>327</v>
      </c>
      <c r="G39" s="16" t="s">
        <v>327</v>
      </c>
      <c r="H39" s="16" t="s">
        <v>327</v>
      </c>
    </row>
    <row r="40" spans="1:8" x14ac:dyDescent="0.3">
      <c r="A40" s="16" t="s">
        <v>127</v>
      </c>
      <c r="B40" s="16" t="str">
        <f t="shared" si="1"/>
        <v>IT</v>
      </c>
      <c r="C40" s="16" t="s">
        <v>327</v>
      </c>
      <c r="D40" s="16" t="s">
        <v>327</v>
      </c>
      <c r="E40" s="16" t="s">
        <v>327</v>
      </c>
      <c r="F40" s="16" t="s">
        <v>327</v>
      </c>
      <c r="G40" s="16" t="s">
        <v>327</v>
      </c>
      <c r="H40" s="16" t="s">
        <v>327</v>
      </c>
    </row>
    <row r="41" spans="1:8" x14ac:dyDescent="0.3">
      <c r="A41" s="16" t="s">
        <v>129</v>
      </c>
      <c r="B41" s="16" t="str">
        <f t="shared" si="1"/>
        <v>Operaciones</v>
      </c>
      <c r="C41" s="16" t="s">
        <v>327</v>
      </c>
      <c r="D41" s="16" t="s">
        <v>327</v>
      </c>
      <c r="E41" s="16" t="s">
        <v>327</v>
      </c>
      <c r="F41" s="16" t="s">
        <v>327</v>
      </c>
      <c r="G41" s="16" t="s">
        <v>327</v>
      </c>
      <c r="H41" s="16" t="s">
        <v>327</v>
      </c>
    </row>
    <row r="42" spans="1:8" x14ac:dyDescent="0.3">
      <c r="A42" s="16" t="s">
        <v>132</v>
      </c>
      <c r="B42" s="16" t="str">
        <f t="shared" si="1"/>
        <v>IT</v>
      </c>
      <c r="C42" s="16" t="s">
        <v>327</v>
      </c>
      <c r="D42" s="16" t="s">
        <v>327</v>
      </c>
      <c r="E42" s="16" t="s">
        <v>327</v>
      </c>
      <c r="F42" s="16" t="s">
        <v>327</v>
      </c>
      <c r="G42" s="16" t="s">
        <v>327</v>
      </c>
      <c r="H42" s="16" t="s">
        <v>327</v>
      </c>
    </row>
    <row r="43" spans="1:8" x14ac:dyDescent="0.3">
      <c r="A43" s="16" t="s">
        <v>134</v>
      </c>
      <c r="B43" s="16" t="str">
        <f t="shared" si="1"/>
        <v>IT</v>
      </c>
      <c r="C43" s="16" t="s">
        <v>327</v>
      </c>
      <c r="D43" s="16" t="s">
        <v>327</v>
      </c>
      <c r="E43" s="16" t="s">
        <v>327</v>
      </c>
      <c r="F43" s="16" t="s">
        <v>327</v>
      </c>
      <c r="G43" s="16" t="s">
        <v>327</v>
      </c>
      <c r="H43" s="16" t="s">
        <v>327</v>
      </c>
    </row>
    <row r="44" spans="1:8" x14ac:dyDescent="0.3">
      <c r="A44" s="16" t="s">
        <v>136</v>
      </c>
      <c r="B44" s="16" t="str">
        <f t="shared" si="1"/>
        <v>RRHH</v>
      </c>
      <c r="C44" s="16" t="s">
        <v>327</v>
      </c>
      <c r="D44" s="16" t="s">
        <v>327</v>
      </c>
      <c r="E44" s="16" t="s">
        <v>327</v>
      </c>
      <c r="F44" s="16" t="s">
        <v>327</v>
      </c>
      <c r="G44" s="16" t="s">
        <v>327</v>
      </c>
      <c r="H44" s="16" t="s">
        <v>327</v>
      </c>
    </row>
    <row r="45" spans="1:8" x14ac:dyDescent="0.3">
      <c r="A45" s="16" t="s">
        <v>138</v>
      </c>
      <c r="B45" s="16" t="str">
        <f t="shared" si="1"/>
        <v>RRHH</v>
      </c>
      <c r="C45" s="16" t="s">
        <v>327</v>
      </c>
      <c r="D45" s="16" t="s">
        <v>327</v>
      </c>
      <c r="E45" s="16" t="s">
        <v>327</v>
      </c>
      <c r="F45" s="16" t="s">
        <v>327</v>
      </c>
      <c r="G45" s="16" t="s">
        <v>327</v>
      </c>
      <c r="H45" s="16" t="s">
        <v>327</v>
      </c>
    </row>
    <row r="46" spans="1:8" x14ac:dyDescent="0.3">
      <c r="A46" s="16" t="s">
        <v>140</v>
      </c>
      <c r="B46" s="16" t="str">
        <f t="shared" si="1"/>
        <v>Finanzas</v>
      </c>
      <c r="C46" s="16" t="s">
        <v>327</v>
      </c>
      <c r="D46" s="16" t="s">
        <v>327</v>
      </c>
      <c r="E46" s="16" t="s">
        <v>327</v>
      </c>
      <c r="F46" s="16" t="s">
        <v>327</v>
      </c>
      <c r="G46" s="16" t="s">
        <v>327</v>
      </c>
      <c r="H46" s="16" t="s">
        <v>327</v>
      </c>
    </row>
    <row r="47" spans="1:8" x14ac:dyDescent="0.3">
      <c r="A47" s="16" t="s">
        <v>143</v>
      </c>
      <c r="B47" s="16" t="str">
        <f t="shared" si="1"/>
        <v>IT</v>
      </c>
      <c r="C47" s="16" t="s">
        <v>327</v>
      </c>
      <c r="D47" s="16" t="s">
        <v>327</v>
      </c>
      <c r="E47" s="16" t="s">
        <v>327</v>
      </c>
      <c r="F47" s="16" t="s">
        <v>327</v>
      </c>
      <c r="G47" s="16" t="s">
        <v>327</v>
      </c>
      <c r="H47" s="16" t="s">
        <v>327</v>
      </c>
    </row>
    <row r="48" spans="1:8" x14ac:dyDescent="0.3">
      <c r="A48" s="16" t="s">
        <v>145</v>
      </c>
      <c r="B48" s="16" t="str">
        <f t="shared" si="1"/>
        <v>IT</v>
      </c>
      <c r="C48" s="16" t="s">
        <v>327</v>
      </c>
      <c r="D48" s="16" t="s">
        <v>327</v>
      </c>
      <c r="E48" s="16" t="s">
        <v>327</v>
      </c>
      <c r="F48" s="16" t="s">
        <v>327</v>
      </c>
      <c r="G48" s="16" t="s">
        <v>327</v>
      </c>
      <c r="H48" s="16" t="s">
        <v>327</v>
      </c>
    </row>
    <row r="49" spans="1:8" x14ac:dyDescent="0.3">
      <c r="A49" s="16" t="s">
        <v>147</v>
      </c>
      <c r="B49" s="16" t="str">
        <f t="shared" si="1"/>
        <v>Ventas</v>
      </c>
      <c r="C49" s="16" t="s">
        <v>327</v>
      </c>
      <c r="D49" s="16" t="s">
        <v>327</v>
      </c>
      <c r="E49" s="16" t="s">
        <v>328</v>
      </c>
      <c r="F49" s="16" t="s">
        <v>327</v>
      </c>
      <c r="G49" s="16" t="s">
        <v>327</v>
      </c>
      <c r="H49" s="16" t="s">
        <v>327</v>
      </c>
    </row>
    <row r="50" spans="1:8" x14ac:dyDescent="0.3">
      <c r="A50" s="16" t="s">
        <v>149</v>
      </c>
      <c r="B50" s="16" t="str">
        <f t="shared" si="1"/>
        <v>Finanzas</v>
      </c>
      <c r="C50" s="16" t="s">
        <v>327</v>
      </c>
      <c r="D50" s="16" t="s">
        <v>327</v>
      </c>
      <c r="E50" s="16" t="s">
        <v>327</v>
      </c>
      <c r="F50" s="16" t="s">
        <v>327</v>
      </c>
      <c r="G50" s="16" t="s">
        <v>327</v>
      </c>
      <c r="H50" s="16" t="s">
        <v>327</v>
      </c>
    </row>
    <row r="51" spans="1:8" x14ac:dyDescent="0.3">
      <c r="A51" s="16" t="s">
        <v>151</v>
      </c>
      <c r="B51" s="16" t="str">
        <f t="shared" si="1"/>
        <v>Operaciones</v>
      </c>
      <c r="C51" s="16" t="s">
        <v>327</v>
      </c>
      <c r="D51" s="16" t="s">
        <v>327</v>
      </c>
      <c r="E51" s="16" t="s">
        <v>327</v>
      </c>
      <c r="F51" s="16" t="s">
        <v>327</v>
      </c>
      <c r="G51" s="16" t="s">
        <v>327</v>
      </c>
      <c r="H51" s="16" t="s">
        <v>327</v>
      </c>
    </row>
    <row r="52" spans="1:8" x14ac:dyDescent="0.3">
      <c r="A52" s="16" t="s">
        <v>153</v>
      </c>
      <c r="B52" s="16" t="str">
        <f t="shared" si="1"/>
        <v>IT</v>
      </c>
      <c r="C52" s="16" t="s">
        <v>327</v>
      </c>
      <c r="D52" s="16" t="s">
        <v>327</v>
      </c>
      <c r="E52" s="16" t="s">
        <v>327</v>
      </c>
      <c r="F52" s="16" t="s">
        <v>327</v>
      </c>
      <c r="G52" s="16" t="s">
        <v>327</v>
      </c>
      <c r="H52" s="16" t="s">
        <v>327</v>
      </c>
    </row>
    <row r="53" spans="1:8" x14ac:dyDescent="0.3">
      <c r="A53" s="16" t="s">
        <v>155</v>
      </c>
      <c r="B53" s="16" t="str">
        <f t="shared" si="1"/>
        <v>Finanzas</v>
      </c>
      <c r="C53" s="16" t="s">
        <v>327</v>
      </c>
      <c r="D53" s="16" t="s">
        <v>328</v>
      </c>
      <c r="E53" s="16" t="s">
        <v>327</v>
      </c>
      <c r="F53" s="16" t="s">
        <v>327</v>
      </c>
      <c r="G53" s="16" t="s">
        <v>327</v>
      </c>
      <c r="H53" s="16" t="s">
        <v>327</v>
      </c>
    </row>
    <row r="54" spans="1:8" x14ac:dyDescent="0.3">
      <c r="A54" s="16" t="s">
        <v>157</v>
      </c>
      <c r="B54" s="16" t="str">
        <f t="shared" si="1"/>
        <v>Operaciones</v>
      </c>
      <c r="C54" s="16" t="s">
        <v>327</v>
      </c>
      <c r="D54" s="16" t="s">
        <v>327</v>
      </c>
      <c r="E54" s="16" t="s">
        <v>327</v>
      </c>
      <c r="F54" s="16" t="s">
        <v>327</v>
      </c>
      <c r="G54" s="16" t="s">
        <v>327</v>
      </c>
      <c r="H54" s="16" t="s">
        <v>327</v>
      </c>
    </row>
    <row r="55" spans="1:8" x14ac:dyDescent="0.3">
      <c r="A55" s="16" t="s">
        <v>159</v>
      </c>
      <c r="B55" s="16" t="str">
        <f t="shared" si="1"/>
        <v>Ventas</v>
      </c>
      <c r="C55" s="16" t="s">
        <v>327</v>
      </c>
      <c r="D55" s="16" t="s">
        <v>327</v>
      </c>
      <c r="E55" s="16" t="s">
        <v>327</v>
      </c>
      <c r="F55" s="16" t="s">
        <v>327</v>
      </c>
      <c r="G55" s="16" t="s">
        <v>327</v>
      </c>
      <c r="H55" s="16" t="s">
        <v>327</v>
      </c>
    </row>
    <row r="56" spans="1:8" x14ac:dyDescent="0.3">
      <c r="A56" s="16" t="s">
        <v>161</v>
      </c>
      <c r="B56" s="16" t="str">
        <f t="shared" si="1"/>
        <v>IT</v>
      </c>
      <c r="C56" s="16" t="s">
        <v>327</v>
      </c>
      <c r="D56" s="16" t="s">
        <v>327</v>
      </c>
      <c r="E56" s="16" t="s">
        <v>327</v>
      </c>
      <c r="F56" s="16" t="s">
        <v>327</v>
      </c>
      <c r="G56" s="16" t="s">
        <v>327</v>
      </c>
      <c r="H56" s="16" t="s">
        <v>327</v>
      </c>
    </row>
    <row r="57" spans="1:8" x14ac:dyDescent="0.3">
      <c r="A57" s="16" t="s">
        <v>163</v>
      </c>
      <c r="B57" s="16" t="str">
        <f t="shared" si="1"/>
        <v>Operaciones</v>
      </c>
      <c r="C57" s="16" t="s">
        <v>327</v>
      </c>
      <c r="D57" s="16" t="s">
        <v>327</v>
      </c>
      <c r="E57" s="16" t="s">
        <v>327</v>
      </c>
      <c r="F57" s="16" t="s">
        <v>327</v>
      </c>
      <c r="G57" s="16" t="s">
        <v>327</v>
      </c>
      <c r="H57" s="16" t="s">
        <v>327</v>
      </c>
    </row>
    <row r="58" spans="1:8" x14ac:dyDescent="0.3">
      <c r="A58" s="16" t="s">
        <v>165</v>
      </c>
      <c r="B58" s="16" t="str">
        <f t="shared" si="1"/>
        <v>Finanzas</v>
      </c>
      <c r="C58" s="16" t="s">
        <v>327</v>
      </c>
      <c r="D58" s="16" t="s">
        <v>327</v>
      </c>
      <c r="E58" s="16" t="s">
        <v>327</v>
      </c>
      <c r="F58" s="16" t="s">
        <v>328</v>
      </c>
      <c r="G58" s="16" t="s">
        <v>327</v>
      </c>
      <c r="H58" s="16" t="s">
        <v>327</v>
      </c>
    </row>
    <row r="59" spans="1:8" x14ac:dyDescent="0.3">
      <c r="A59" s="16" t="s">
        <v>167</v>
      </c>
      <c r="B59" s="16" t="str">
        <f t="shared" si="1"/>
        <v>RRHH</v>
      </c>
      <c r="C59" s="16" t="s">
        <v>327</v>
      </c>
      <c r="D59" s="16" t="s">
        <v>327</v>
      </c>
      <c r="E59" s="16" t="s">
        <v>327</v>
      </c>
      <c r="F59" s="16" t="s">
        <v>327</v>
      </c>
      <c r="G59" s="16" t="s">
        <v>327</v>
      </c>
      <c r="H59" s="16" t="s">
        <v>327</v>
      </c>
    </row>
    <row r="60" spans="1:8" x14ac:dyDescent="0.3">
      <c r="A60" s="16" t="s">
        <v>169</v>
      </c>
      <c r="B60" s="16" t="str">
        <f t="shared" si="1"/>
        <v>RRHH</v>
      </c>
      <c r="C60" s="16" t="s">
        <v>327</v>
      </c>
      <c r="D60" s="16" t="s">
        <v>327</v>
      </c>
      <c r="E60" s="16" t="s">
        <v>327</v>
      </c>
      <c r="F60" s="16" t="s">
        <v>327</v>
      </c>
      <c r="G60" s="16" t="s">
        <v>327</v>
      </c>
      <c r="H60" s="16" t="s">
        <v>327</v>
      </c>
    </row>
    <row r="61" spans="1:8" x14ac:dyDescent="0.3">
      <c r="A61" s="16" t="s">
        <v>171</v>
      </c>
      <c r="B61" s="16" t="str">
        <f t="shared" si="1"/>
        <v>RRHH</v>
      </c>
      <c r="C61" s="16" t="s">
        <v>327</v>
      </c>
      <c r="D61" s="16" t="s">
        <v>327</v>
      </c>
      <c r="E61" s="16" t="s">
        <v>327</v>
      </c>
      <c r="F61" s="16" t="s">
        <v>327</v>
      </c>
      <c r="G61" s="16" t="s">
        <v>327</v>
      </c>
      <c r="H61" s="16" t="s">
        <v>327</v>
      </c>
    </row>
    <row r="62" spans="1:8" x14ac:dyDescent="0.3">
      <c r="A62" s="16" t="s">
        <v>174</v>
      </c>
      <c r="B62" s="16" t="str">
        <f t="shared" si="1"/>
        <v>IT</v>
      </c>
      <c r="C62" s="16" t="s">
        <v>327</v>
      </c>
      <c r="D62" s="16" t="s">
        <v>327</v>
      </c>
      <c r="E62" s="16" t="s">
        <v>327</v>
      </c>
      <c r="F62" s="16" t="s">
        <v>327</v>
      </c>
      <c r="G62" s="16" t="s">
        <v>327</v>
      </c>
      <c r="H62" s="16" t="s">
        <v>327</v>
      </c>
    </row>
    <row r="63" spans="1:8" x14ac:dyDescent="0.3">
      <c r="A63" s="16" t="s">
        <v>176</v>
      </c>
      <c r="B63" s="16" t="str">
        <f t="shared" si="1"/>
        <v>Ventas</v>
      </c>
      <c r="C63" s="16" t="s">
        <v>327</v>
      </c>
      <c r="D63" s="16" t="s">
        <v>327</v>
      </c>
      <c r="E63" s="16" t="s">
        <v>327</v>
      </c>
      <c r="F63" s="16" t="s">
        <v>327</v>
      </c>
      <c r="G63" s="16" t="s">
        <v>327</v>
      </c>
      <c r="H63" s="16" t="s">
        <v>327</v>
      </c>
    </row>
    <row r="64" spans="1:8" x14ac:dyDescent="0.3">
      <c r="A64" s="16" t="s">
        <v>178</v>
      </c>
      <c r="B64" s="16" t="str">
        <f t="shared" si="1"/>
        <v>RRHH</v>
      </c>
      <c r="C64" s="16" t="s">
        <v>327</v>
      </c>
      <c r="D64" s="16" t="s">
        <v>327</v>
      </c>
      <c r="E64" s="16" t="s">
        <v>327</v>
      </c>
      <c r="F64" s="16" t="s">
        <v>327</v>
      </c>
      <c r="G64" s="16" t="s">
        <v>327</v>
      </c>
      <c r="H64" s="16" t="s">
        <v>327</v>
      </c>
    </row>
    <row r="65" spans="1:8" x14ac:dyDescent="0.3">
      <c r="A65" s="16" t="s">
        <v>180</v>
      </c>
      <c r="B65" s="16" t="str">
        <f t="shared" si="1"/>
        <v>Finanzas</v>
      </c>
      <c r="C65" s="16" t="s">
        <v>327</v>
      </c>
      <c r="D65" s="16" t="s">
        <v>327</v>
      </c>
      <c r="E65" s="16" t="s">
        <v>327</v>
      </c>
      <c r="F65" s="16" t="s">
        <v>327</v>
      </c>
      <c r="G65" s="16" t="s">
        <v>327</v>
      </c>
      <c r="H65" s="16" t="s">
        <v>327</v>
      </c>
    </row>
    <row r="66" spans="1:8" x14ac:dyDescent="0.3">
      <c r="A66" s="16" t="s">
        <v>182</v>
      </c>
      <c r="B66" s="16" t="str">
        <f t="shared" ref="B66:B97" si="2">INDEX(Datos_Departamento,MATCH(A66,Datos_ID,0))</f>
        <v>IT</v>
      </c>
      <c r="C66" s="16" t="s">
        <v>327</v>
      </c>
      <c r="D66" s="16" t="s">
        <v>327</v>
      </c>
      <c r="E66" s="16" t="s">
        <v>327</v>
      </c>
      <c r="F66" s="16" t="s">
        <v>327</v>
      </c>
      <c r="G66" s="16" t="s">
        <v>327</v>
      </c>
      <c r="H66" s="16" t="s">
        <v>327</v>
      </c>
    </row>
    <row r="67" spans="1:8" x14ac:dyDescent="0.3">
      <c r="A67" s="16" t="s">
        <v>184</v>
      </c>
      <c r="B67" s="16" t="str">
        <f t="shared" si="2"/>
        <v>IT</v>
      </c>
      <c r="C67" s="16" t="s">
        <v>327</v>
      </c>
      <c r="D67" s="16" t="s">
        <v>327</v>
      </c>
      <c r="E67" s="16" t="s">
        <v>327</v>
      </c>
      <c r="F67" s="16" t="s">
        <v>327</v>
      </c>
      <c r="G67" s="16" t="s">
        <v>327</v>
      </c>
      <c r="H67" s="16" t="s">
        <v>327</v>
      </c>
    </row>
    <row r="68" spans="1:8" x14ac:dyDescent="0.3">
      <c r="A68" s="16" t="s">
        <v>186</v>
      </c>
      <c r="B68" s="16" t="str">
        <f t="shared" si="2"/>
        <v>RRHH</v>
      </c>
      <c r="C68" s="16" t="s">
        <v>328</v>
      </c>
      <c r="D68" s="16" t="s">
        <v>327</v>
      </c>
      <c r="E68" s="16" t="s">
        <v>327</v>
      </c>
      <c r="F68" s="16" t="s">
        <v>327</v>
      </c>
      <c r="G68" s="16" t="s">
        <v>327</v>
      </c>
      <c r="H68" s="16" t="s">
        <v>327</v>
      </c>
    </row>
    <row r="69" spans="1:8" x14ac:dyDescent="0.3">
      <c r="A69" s="16" t="s">
        <v>188</v>
      </c>
      <c r="B69" s="16" t="str">
        <f t="shared" si="2"/>
        <v>Finanzas</v>
      </c>
      <c r="C69" s="16" t="s">
        <v>327</v>
      </c>
      <c r="D69" s="16" t="s">
        <v>327</v>
      </c>
      <c r="E69" s="16" t="s">
        <v>327</v>
      </c>
      <c r="F69" s="16" t="s">
        <v>327</v>
      </c>
      <c r="G69" s="16" t="s">
        <v>327</v>
      </c>
      <c r="H69" s="16" t="s">
        <v>327</v>
      </c>
    </row>
    <row r="70" spans="1:8" x14ac:dyDescent="0.3">
      <c r="A70" s="16" t="s">
        <v>191</v>
      </c>
      <c r="B70" s="16" t="str">
        <f t="shared" si="2"/>
        <v>Operaciones</v>
      </c>
      <c r="C70" s="16" t="s">
        <v>327</v>
      </c>
      <c r="D70" s="16" t="s">
        <v>327</v>
      </c>
      <c r="E70" s="16" t="s">
        <v>327</v>
      </c>
      <c r="F70" s="16" t="s">
        <v>327</v>
      </c>
      <c r="G70" s="16" t="s">
        <v>327</v>
      </c>
      <c r="H70" s="16" t="s">
        <v>327</v>
      </c>
    </row>
    <row r="71" spans="1:8" x14ac:dyDescent="0.3">
      <c r="A71" s="16" t="s">
        <v>193</v>
      </c>
      <c r="B71" s="16" t="str">
        <f t="shared" si="2"/>
        <v>Operaciones</v>
      </c>
      <c r="C71" s="16" t="s">
        <v>327</v>
      </c>
      <c r="D71" s="16" t="s">
        <v>327</v>
      </c>
      <c r="E71" s="16" t="s">
        <v>327</v>
      </c>
      <c r="F71" s="16" t="s">
        <v>327</v>
      </c>
      <c r="G71" s="16" t="s">
        <v>327</v>
      </c>
      <c r="H71" s="16" t="s">
        <v>327</v>
      </c>
    </row>
    <row r="72" spans="1:8" x14ac:dyDescent="0.3">
      <c r="A72" s="16" t="s">
        <v>195</v>
      </c>
      <c r="B72" s="16" t="str">
        <f t="shared" si="2"/>
        <v>IT</v>
      </c>
      <c r="C72" s="16" t="s">
        <v>327</v>
      </c>
      <c r="D72" s="16" t="s">
        <v>327</v>
      </c>
      <c r="E72" s="16" t="s">
        <v>327</v>
      </c>
      <c r="F72" s="16" t="s">
        <v>327</v>
      </c>
      <c r="G72" s="16" t="s">
        <v>327</v>
      </c>
      <c r="H72" s="16" t="s">
        <v>327</v>
      </c>
    </row>
    <row r="73" spans="1:8" x14ac:dyDescent="0.3">
      <c r="A73" s="16" t="s">
        <v>197</v>
      </c>
      <c r="B73" s="16" t="str">
        <f t="shared" si="2"/>
        <v>Ventas</v>
      </c>
      <c r="C73" s="16" t="s">
        <v>327</v>
      </c>
      <c r="D73" s="16" t="s">
        <v>327</v>
      </c>
      <c r="E73" s="16" t="s">
        <v>327</v>
      </c>
      <c r="F73" s="16" t="s">
        <v>327</v>
      </c>
      <c r="G73" s="16" t="s">
        <v>327</v>
      </c>
      <c r="H73" s="16" t="s">
        <v>327</v>
      </c>
    </row>
    <row r="74" spans="1:8" x14ac:dyDescent="0.3">
      <c r="A74" s="16" t="s">
        <v>199</v>
      </c>
      <c r="B74" s="16" t="str">
        <f t="shared" si="2"/>
        <v>IT</v>
      </c>
      <c r="C74" s="16" t="s">
        <v>327</v>
      </c>
      <c r="D74" s="16" t="s">
        <v>327</v>
      </c>
      <c r="E74" s="16" t="s">
        <v>327</v>
      </c>
      <c r="F74" s="16" t="s">
        <v>327</v>
      </c>
      <c r="G74" s="16" t="s">
        <v>327</v>
      </c>
      <c r="H74" s="16" t="s">
        <v>327</v>
      </c>
    </row>
    <row r="75" spans="1:8" x14ac:dyDescent="0.3">
      <c r="A75" s="16" t="s">
        <v>201</v>
      </c>
      <c r="B75" s="16" t="str">
        <f t="shared" si="2"/>
        <v>Operaciones</v>
      </c>
      <c r="C75" s="16" t="s">
        <v>327</v>
      </c>
      <c r="D75" s="16" t="s">
        <v>327</v>
      </c>
      <c r="E75" s="16" t="s">
        <v>327</v>
      </c>
      <c r="F75" s="16" t="s">
        <v>327</v>
      </c>
      <c r="G75" s="16" t="s">
        <v>327</v>
      </c>
      <c r="H75" s="16" t="s">
        <v>327</v>
      </c>
    </row>
    <row r="76" spans="1:8" x14ac:dyDescent="0.3">
      <c r="A76" s="16" t="s">
        <v>203</v>
      </c>
      <c r="B76" s="16" t="str">
        <f t="shared" si="2"/>
        <v>RRHH</v>
      </c>
      <c r="C76" s="16" t="s">
        <v>327</v>
      </c>
      <c r="D76" s="16" t="s">
        <v>327</v>
      </c>
      <c r="E76" s="16" t="s">
        <v>327</v>
      </c>
      <c r="F76" s="16" t="s">
        <v>327</v>
      </c>
      <c r="G76" s="16" t="s">
        <v>327</v>
      </c>
      <c r="H76" s="16" t="s">
        <v>327</v>
      </c>
    </row>
    <row r="77" spans="1:8" x14ac:dyDescent="0.3">
      <c r="A77" s="16" t="s">
        <v>205</v>
      </c>
      <c r="B77" s="16" t="str">
        <f t="shared" si="2"/>
        <v>IT</v>
      </c>
      <c r="C77" s="16" t="s">
        <v>327</v>
      </c>
      <c r="D77" s="16" t="s">
        <v>327</v>
      </c>
      <c r="E77" s="16" t="s">
        <v>327</v>
      </c>
      <c r="F77" s="16" t="s">
        <v>328</v>
      </c>
      <c r="G77" s="16" t="s">
        <v>327</v>
      </c>
      <c r="H77" s="16" t="s">
        <v>327</v>
      </c>
    </row>
    <row r="78" spans="1:8" x14ac:dyDescent="0.3">
      <c r="A78" s="16" t="s">
        <v>207</v>
      </c>
      <c r="B78" s="16" t="str">
        <f t="shared" si="2"/>
        <v>Ventas</v>
      </c>
      <c r="C78" s="16" t="s">
        <v>327</v>
      </c>
      <c r="D78" s="16" t="s">
        <v>327</v>
      </c>
      <c r="E78" s="16" t="s">
        <v>327</v>
      </c>
      <c r="F78" s="16" t="s">
        <v>327</v>
      </c>
      <c r="G78" s="16" t="s">
        <v>327</v>
      </c>
      <c r="H78" s="16" t="s">
        <v>327</v>
      </c>
    </row>
    <row r="79" spans="1:8" x14ac:dyDescent="0.3">
      <c r="A79" s="16" t="s">
        <v>209</v>
      </c>
      <c r="B79" s="16" t="str">
        <f t="shared" si="2"/>
        <v>IT</v>
      </c>
      <c r="C79" s="16" t="s">
        <v>327</v>
      </c>
      <c r="D79" s="16" t="s">
        <v>327</v>
      </c>
      <c r="E79" s="16" t="s">
        <v>327</v>
      </c>
      <c r="F79" s="16" t="s">
        <v>327</v>
      </c>
      <c r="G79" s="16" t="s">
        <v>327</v>
      </c>
      <c r="H79" s="16" t="s">
        <v>327</v>
      </c>
    </row>
    <row r="80" spans="1:8" x14ac:dyDescent="0.3">
      <c r="A80" s="16" t="s">
        <v>211</v>
      </c>
      <c r="B80" s="16" t="str">
        <f t="shared" si="2"/>
        <v>Finanzas</v>
      </c>
      <c r="C80" s="16" t="s">
        <v>327</v>
      </c>
      <c r="D80" s="16" t="s">
        <v>327</v>
      </c>
      <c r="E80" s="16" t="s">
        <v>327</v>
      </c>
      <c r="F80" s="16" t="s">
        <v>327</v>
      </c>
      <c r="G80" s="16" t="s">
        <v>327</v>
      </c>
      <c r="H80" s="16" t="s">
        <v>327</v>
      </c>
    </row>
    <row r="81" spans="1:8" x14ac:dyDescent="0.3">
      <c r="A81" s="16" t="s">
        <v>213</v>
      </c>
      <c r="B81" s="16" t="str">
        <f t="shared" si="2"/>
        <v>RRHH</v>
      </c>
      <c r="C81" s="16" t="s">
        <v>327</v>
      </c>
      <c r="D81" s="16" t="s">
        <v>327</v>
      </c>
      <c r="E81" s="16" t="s">
        <v>327</v>
      </c>
      <c r="F81" s="16" t="s">
        <v>327</v>
      </c>
      <c r="G81" s="16" t="s">
        <v>327</v>
      </c>
      <c r="H81" s="16" t="s">
        <v>327</v>
      </c>
    </row>
    <row r="82" spans="1:8" x14ac:dyDescent="0.3">
      <c r="A82" s="16" t="s">
        <v>215</v>
      </c>
      <c r="B82" s="16" t="str">
        <f t="shared" si="2"/>
        <v>Operaciones</v>
      </c>
      <c r="C82" s="16" t="s">
        <v>327</v>
      </c>
      <c r="D82" s="16" t="s">
        <v>327</v>
      </c>
      <c r="E82" s="16" t="s">
        <v>327</v>
      </c>
      <c r="F82" s="16" t="s">
        <v>327</v>
      </c>
      <c r="G82" s="16" t="s">
        <v>327</v>
      </c>
      <c r="H82" s="16" t="s">
        <v>327</v>
      </c>
    </row>
    <row r="83" spans="1:8" x14ac:dyDescent="0.3">
      <c r="A83" s="16" t="s">
        <v>217</v>
      </c>
      <c r="B83" s="16" t="str">
        <f t="shared" si="2"/>
        <v>RRHH</v>
      </c>
      <c r="C83" s="16" t="s">
        <v>327</v>
      </c>
      <c r="D83" s="16" t="s">
        <v>327</v>
      </c>
      <c r="E83" s="16" t="s">
        <v>328</v>
      </c>
      <c r="F83" s="16" t="s">
        <v>327</v>
      </c>
      <c r="G83" s="16" t="s">
        <v>327</v>
      </c>
      <c r="H83" s="16" t="s">
        <v>327</v>
      </c>
    </row>
    <row r="84" spans="1:8" x14ac:dyDescent="0.3">
      <c r="A84" s="16" t="s">
        <v>219</v>
      </c>
      <c r="B84" s="16" t="str">
        <f t="shared" si="2"/>
        <v>RRHH</v>
      </c>
      <c r="C84" s="16" t="s">
        <v>327</v>
      </c>
      <c r="D84" s="16" t="s">
        <v>327</v>
      </c>
      <c r="E84" s="16" t="s">
        <v>327</v>
      </c>
      <c r="F84" s="16" t="s">
        <v>327</v>
      </c>
      <c r="G84" s="16" t="s">
        <v>327</v>
      </c>
      <c r="H84" s="16" t="s">
        <v>327</v>
      </c>
    </row>
    <row r="85" spans="1:8" x14ac:dyDescent="0.3">
      <c r="A85" s="16" t="s">
        <v>221</v>
      </c>
      <c r="B85" s="16" t="str">
        <f t="shared" si="2"/>
        <v>IT</v>
      </c>
      <c r="C85" s="16" t="s">
        <v>327</v>
      </c>
      <c r="D85" s="16" t="s">
        <v>327</v>
      </c>
      <c r="E85" s="16" t="s">
        <v>327</v>
      </c>
      <c r="F85" s="16" t="s">
        <v>327</v>
      </c>
      <c r="G85" s="16" t="s">
        <v>327</v>
      </c>
      <c r="H85" s="16" t="s">
        <v>327</v>
      </c>
    </row>
    <row r="86" spans="1:8" x14ac:dyDescent="0.3">
      <c r="A86" s="16" t="s">
        <v>223</v>
      </c>
      <c r="B86" s="16" t="str">
        <f t="shared" si="2"/>
        <v>RRHH</v>
      </c>
      <c r="C86" s="16" t="s">
        <v>327</v>
      </c>
      <c r="D86" s="16" t="s">
        <v>327</v>
      </c>
      <c r="E86" s="16" t="s">
        <v>327</v>
      </c>
      <c r="F86" s="16" t="s">
        <v>327</v>
      </c>
      <c r="G86" s="16" t="s">
        <v>327</v>
      </c>
      <c r="H86" s="16" t="s">
        <v>327</v>
      </c>
    </row>
    <row r="87" spans="1:8" x14ac:dyDescent="0.3">
      <c r="A87" s="16" t="s">
        <v>225</v>
      </c>
      <c r="B87" s="16" t="str">
        <f t="shared" si="2"/>
        <v>RRHH</v>
      </c>
      <c r="C87" s="16" t="s">
        <v>327</v>
      </c>
      <c r="D87" s="16" t="s">
        <v>327</v>
      </c>
      <c r="E87" s="16" t="s">
        <v>327</v>
      </c>
      <c r="F87" s="16" t="s">
        <v>327</v>
      </c>
      <c r="G87" s="16" t="s">
        <v>327</v>
      </c>
      <c r="H87" s="16" t="s">
        <v>327</v>
      </c>
    </row>
    <row r="88" spans="1:8" x14ac:dyDescent="0.3">
      <c r="A88" s="16" t="s">
        <v>227</v>
      </c>
      <c r="B88" s="16" t="str">
        <f t="shared" si="2"/>
        <v>Finanzas</v>
      </c>
      <c r="C88" s="16" t="s">
        <v>327</v>
      </c>
      <c r="D88" s="16" t="s">
        <v>327</v>
      </c>
      <c r="E88" s="16" t="s">
        <v>327</v>
      </c>
      <c r="F88" s="16" t="s">
        <v>327</v>
      </c>
      <c r="G88" s="16" t="s">
        <v>327</v>
      </c>
      <c r="H88" s="16" t="s">
        <v>327</v>
      </c>
    </row>
    <row r="89" spans="1:8" x14ac:dyDescent="0.3">
      <c r="A89" s="16" t="s">
        <v>229</v>
      </c>
      <c r="B89" s="16" t="str">
        <f t="shared" si="2"/>
        <v>RRHH</v>
      </c>
      <c r="C89" s="16" t="s">
        <v>328</v>
      </c>
      <c r="D89" s="16" t="s">
        <v>327</v>
      </c>
      <c r="E89" s="16" t="s">
        <v>327</v>
      </c>
      <c r="F89" s="16" t="s">
        <v>327</v>
      </c>
      <c r="G89" s="16" t="s">
        <v>327</v>
      </c>
      <c r="H89" s="16" t="s">
        <v>327</v>
      </c>
    </row>
    <row r="90" spans="1:8" x14ac:dyDescent="0.3">
      <c r="A90" s="16" t="s">
        <v>231</v>
      </c>
      <c r="B90" s="16" t="str">
        <f t="shared" si="2"/>
        <v>IT</v>
      </c>
      <c r="C90" s="16" t="s">
        <v>327</v>
      </c>
      <c r="D90" s="16" t="s">
        <v>327</v>
      </c>
      <c r="E90" s="16" t="s">
        <v>327</v>
      </c>
      <c r="F90" s="16" t="s">
        <v>327</v>
      </c>
      <c r="G90" s="16" t="s">
        <v>327</v>
      </c>
      <c r="H90" s="16" t="s">
        <v>327</v>
      </c>
    </row>
    <row r="91" spans="1:8" x14ac:dyDescent="0.3">
      <c r="A91" s="16" t="s">
        <v>233</v>
      </c>
      <c r="B91" s="16" t="str">
        <f t="shared" si="2"/>
        <v>Ventas</v>
      </c>
      <c r="C91" s="16" t="s">
        <v>327</v>
      </c>
      <c r="D91" s="16" t="s">
        <v>327</v>
      </c>
      <c r="E91" s="16" t="s">
        <v>327</v>
      </c>
      <c r="F91" s="16" t="s">
        <v>327</v>
      </c>
      <c r="G91" s="16" t="s">
        <v>327</v>
      </c>
      <c r="H91" s="16" t="s">
        <v>327</v>
      </c>
    </row>
    <row r="92" spans="1:8" x14ac:dyDescent="0.3">
      <c r="A92" s="16" t="s">
        <v>235</v>
      </c>
      <c r="B92" s="16" t="str">
        <f t="shared" si="2"/>
        <v>IT</v>
      </c>
      <c r="C92" s="16" t="s">
        <v>327</v>
      </c>
      <c r="D92" s="16" t="s">
        <v>327</v>
      </c>
      <c r="E92" s="16" t="s">
        <v>327</v>
      </c>
      <c r="F92" s="16" t="s">
        <v>327</v>
      </c>
      <c r="G92" s="16" t="s">
        <v>327</v>
      </c>
      <c r="H92" s="16" t="s">
        <v>327</v>
      </c>
    </row>
    <row r="93" spans="1:8" x14ac:dyDescent="0.3">
      <c r="A93" s="16" t="s">
        <v>237</v>
      </c>
      <c r="B93" s="16" t="str">
        <f t="shared" si="2"/>
        <v>Operaciones</v>
      </c>
      <c r="C93" s="16" t="s">
        <v>328</v>
      </c>
      <c r="D93" s="16" t="s">
        <v>327</v>
      </c>
      <c r="E93" s="16" t="s">
        <v>327</v>
      </c>
      <c r="F93" s="16" t="s">
        <v>327</v>
      </c>
      <c r="G93" s="16" t="s">
        <v>327</v>
      </c>
      <c r="H93" s="16" t="s">
        <v>327</v>
      </c>
    </row>
    <row r="94" spans="1:8" x14ac:dyDescent="0.3">
      <c r="A94" s="16" t="s">
        <v>239</v>
      </c>
      <c r="B94" s="16" t="str">
        <f t="shared" si="2"/>
        <v>RRHH</v>
      </c>
      <c r="C94" s="16" t="s">
        <v>327</v>
      </c>
      <c r="D94" s="16" t="s">
        <v>327</v>
      </c>
      <c r="E94" s="16" t="s">
        <v>327</v>
      </c>
      <c r="F94" s="16" t="s">
        <v>327</v>
      </c>
      <c r="G94" s="16" t="s">
        <v>327</v>
      </c>
      <c r="H94" s="16" t="s">
        <v>327</v>
      </c>
    </row>
    <row r="95" spans="1:8" x14ac:dyDescent="0.3">
      <c r="A95" s="16" t="s">
        <v>241</v>
      </c>
      <c r="B95" s="16" t="str">
        <f t="shared" si="2"/>
        <v>RRHH</v>
      </c>
      <c r="C95" s="16" t="s">
        <v>327</v>
      </c>
      <c r="D95" s="16" t="s">
        <v>327</v>
      </c>
      <c r="E95" s="16" t="s">
        <v>327</v>
      </c>
      <c r="F95" s="16" t="s">
        <v>327</v>
      </c>
      <c r="G95" s="16" t="s">
        <v>327</v>
      </c>
      <c r="H95" s="16" t="s">
        <v>327</v>
      </c>
    </row>
    <row r="96" spans="1:8" x14ac:dyDescent="0.3">
      <c r="A96" s="16" t="s">
        <v>243</v>
      </c>
      <c r="B96" s="16" t="str">
        <f t="shared" si="2"/>
        <v>Ventas</v>
      </c>
      <c r="C96" s="16" t="s">
        <v>327</v>
      </c>
      <c r="D96" s="16" t="s">
        <v>327</v>
      </c>
      <c r="E96" s="16" t="s">
        <v>327</v>
      </c>
      <c r="F96" s="16" t="s">
        <v>327</v>
      </c>
      <c r="G96" s="16" t="s">
        <v>327</v>
      </c>
      <c r="H96" s="16" t="s">
        <v>327</v>
      </c>
    </row>
    <row r="97" spans="1:8" x14ac:dyDescent="0.3">
      <c r="A97" s="16" t="s">
        <v>245</v>
      </c>
      <c r="B97" s="16" t="str">
        <f t="shared" si="2"/>
        <v>Operaciones</v>
      </c>
      <c r="C97" s="16" t="s">
        <v>327</v>
      </c>
      <c r="D97" s="16" t="s">
        <v>327</v>
      </c>
      <c r="E97" s="16" t="s">
        <v>327</v>
      </c>
      <c r="F97" s="16" t="s">
        <v>327</v>
      </c>
      <c r="G97" s="16" t="s">
        <v>327</v>
      </c>
      <c r="H97" s="16" t="s">
        <v>327</v>
      </c>
    </row>
    <row r="98" spans="1:8" x14ac:dyDescent="0.3">
      <c r="A98" s="16" t="s">
        <v>247</v>
      </c>
      <c r="B98" s="16" t="str">
        <f t="shared" ref="B98:B129" si="3">INDEX(Datos_Departamento,MATCH(A98,Datos_ID,0))</f>
        <v>Ventas</v>
      </c>
      <c r="C98" s="16"/>
      <c r="D98" s="16" t="s">
        <v>327</v>
      </c>
      <c r="E98" s="16" t="s">
        <v>327</v>
      </c>
      <c r="F98" s="16" t="s">
        <v>327</v>
      </c>
      <c r="G98" s="16" t="s">
        <v>327</v>
      </c>
      <c r="H98" s="16" t="s">
        <v>327</v>
      </c>
    </row>
    <row r="99" spans="1:8" x14ac:dyDescent="0.3">
      <c r="A99" s="16" t="s">
        <v>249</v>
      </c>
      <c r="B99" s="16" t="str">
        <f t="shared" si="3"/>
        <v>IT</v>
      </c>
      <c r="C99" s="16"/>
      <c r="D99" s="16" t="s">
        <v>327</v>
      </c>
      <c r="E99" s="16" t="s">
        <v>327</v>
      </c>
      <c r="F99" s="16" t="s">
        <v>327</v>
      </c>
      <c r="G99" s="16" t="s">
        <v>327</v>
      </c>
      <c r="H99" s="16" t="s">
        <v>327</v>
      </c>
    </row>
    <row r="100" spans="1:8" x14ac:dyDescent="0.3">
      <c r="A100" s="16" t="s">
        <v>251</v>
      </c>
      <c r="B100" s="16" t="str">
        <f t="shared" si="3"/>
        <v>RRHH</v>
      </c>
      <c r="C100" s="16"/>
      <c r="D100" s="16" t="s">
        <v>327</v>
      </c>
      <c r="E100" s="16" t="s">
        <v>327</v>
      </c>
      <c r="F100" s="16" t="s">
        <v>327</v>
      </c>
      <c r="G100" s="16" t="s">
        <v>327</v>
      </c>
      <c r="H100" s="16" t="s">
        <v>327</v>
      </c>
    </row>
    <row r="101" spans="1:8" x14ac:dyDescent="0.3">
      <c r="A101" s="16" t="s">
        <v>253</v>
      </c>
      <c r="B101" s="16" t="str">
        <f t="shared" si="3"/>
        <v>RRHH</v>
      </c>
      <c r="C101" s="16"/>
      <c r="D101" s="16" t="s">
        <v>327</v>
      </c>
      <c r="E101" s="16" t="s">
        <v>327</v>
      </c>
      <c r="F101" s="16" t="s">
        <v>327</v>
      </c>
      <c r="G101" s="16" t="s">
        <v>327</v>
      </c>
      <c r="H101" s="16" t="s">
        <v>327</v>
      </c>
    </row>
    <row r="102" spans="1:8" x14ac:dyDescent="0.3">
      <c r="A102" s="16" t="s">
        <v>255</v>
      </c>
      <c r="B102" s="16" t="str">
        <f t="shared" si="3"/>
        <v>Ventas</v>
      </c>
      <c r="C102" s="16"/>
      <c r="D102" s="16" t="s">
        <v>327</v>
      </c>
      <c r="E102" s="16" t="s">
        <v>327</v>
      </c>
      <c r="F102" s="16" t="s">
        <v>327</v>
      </c>
      <c r="G102" s="16" t="s">
        <v>327</v>
      </c>
      <c r="H102" s="16" t="s">
        <v>327</v>
      </c>
    </row>
    <row r="103" spans="1:8" x14ac:dyDescent="0.3">
      <c r="A103" s="16" t="s">
        <v>257</v>
      </c>
      <c r="B103" s="16" t="str">
        <f t="shared" si="3"/>
        <v>Operaciones</v>
      </c>
      <c r="C103" s="16"/>
      <c r="D103" s="16"/>
      <c r="E103" s="16" t="s">
        <v>327</v>
      </c>
      <c r="F103" s="16" t="s">
        <v>327</v>
      </c>
      <c r="G103" s="16" t="s">
        <v>327</v>
      </c>
      <c r="H103" s="16" t="s">
        <v>327</v>
      </c>
    </row>
    <row r="104" spans="1:8" x14ac:dyDescent="0.3">
      <c r="A104" s="16" t="s">
        <v>259</v>
      </c>
      <c r="B104" s="16" t="str">
        <f t="shared" si="3"/>
        <v>Operaciones</v>
      </c>
      <c r="C104" s="16"/>
      <c r="D104" s="16"/>
      <c r="E104" s="16" t="s">
        <v>327</v>
      </c>
      <c r="F104" s="16" t="s">
        <v>327</v>
      </c>
      <c r="G104" s="16" t="s">
        <v>327</v>
      </c>
      <c r="H104" s="16" t="s">
        <v>327</v>
      </c>
    </row>
    <row r="105" spans="1:8" x14ac:dyDescent="0.3">
      <c r="A105" s="16" t="s">
        <v>261</v>
      </c>
      <c r="B105" s="16" t="str">
        <f t="shared" si="3"/>
        <v>Ventas</v>
      </c>
      <c r="C105" s="16"/>
      <c r="D105" s="16"/>
      <c r="E105" s="16" t="s">
        <v>327</v>
      </c>
      <c r="F105" s="16" t="s">
        <v>327</v>
      </c>
      <c r="G105" s="16" t="s">
        <v>327</v>
      </c>
      <c r="H105" s="16" t="s">
        <v>327</v>
      </c>
    </row>
    <row r="106" spans="1:8" x14ac:dyDescent="0.3">
      <c r="A106" s="16" t="s">
        <v>263</v>
      </c>
      <c r="B106" s="16" t="str">
        <f t="shared" si="3"/>
        <v>Ventas</v>
      </c>
      <c r="C106" s="16"/>
      <c r="D106" s="16"/>
      <c r="E106" s="16" t="s">
        <v>327</v>
      </c>
      <c r="F106" s="16" t="s">
        <v>327</v>
      </c>
      <c r="G106" s="16" t="s">
        <v>328</v>
      </c>
      <c r="H106" s="16" t="s">
        <v>327</v>
      </c>
    </row>
    <row r="107" spans="1:8" x14ac:dyDescent="0.3">
      <c r="A107" s="16" t="s">
        <v>265</v>
      </c>
      <c r="B107" s="16" t="str">
        <f t="shared" si="3"/>
        <v>Operaciones</v>
      </c>
      <c r="C107" s="16"/>
      <c r="D107" s="16"/>
      <c r="E107" s="16"/>
      <c r="F107" s="16" t="s">
        <v>327</v>
      </c>
      <c r="G107" s="16" t="s">
        <v>327</v>
      </c>
      <c r="H107" s="16" t="s">
        <v>327</v>
      </c>
    </row>
    <row r="108" spans="1:8" x14ac:dyDescent="0.3">
      <c r="A108" s="16" t="s">
        <v>267</v>
      </c>
      <c r="B108" s="16" t="str">
        <f t="shared" si="3"/>
        <v>RRHH</v>
      </c>
      <c r="C108" s="16"/>
      <c r="D108" s="16"/>
      <c r="E108" s="16"/>
      <c r="F108" s="16" t="s">
        <v>327</v>
      </c>
      <c r="G108" s="16" t="s">
        <v>327</v>
      </c>
      <c r="H108" s="16" t="s">
        <v>327</v>
      </c>
    </row>
    <row r="109" spans="1:8" x14ac:dyDescent="0.3">
      <c r="A109" s="16" t="s">
        <v>269</v>
      </c>
      <c r="B109" s="16" t="str">
        <f t="shared" si="3"/>
        <v>Finanzas</v>
      </c>
      <c r="C109" s="16"/>
      <c r="D109" s="16"/>
      <c r="E109" s="16"/>
      <c r="F109" s="16" t="s">
        <v>327</v>
      </c>
      <c r="G109" s="16" t="s">
        <v>327</v>
      </c>
      <c r="H109" s="16" t="s">
        <v>327</v>
      </c>
    </row>
    <row r="110" spans="1:8" x14ac:dyDescent="0.3">
      <c r="A110" s="16" t="s">
        <v>271</v>
      </c>
      <c r="B110" s="16" t="str">
        <f t="shared" si="3"/>
        <v>Finanzas</v>
      </c>
      <c r="C110" s="16"/>
      <c r="D110" s="16"/>
      <c r="E110" s="16"/>
      <c r="F110" s="16" t="s">
        <v>327</v>
      </c>
      <c r="G110" s="16" t="s">
        <v>327</v>
      </c>
      <c r="H110" s="16" t="s">
        <v>327</v>
      </c>
    </row>
    <row r="111" spans="1:8" x14ac:dyDescent="0.3">
      <c r="A111" s="16" t="s">
        <v>273</v>
      </c>
      <c r="B111" s="16" t="str">
        <f t="shared" si="3"/>
        <v>RRHH</v>
      </c>
      <c r="C111" s="16"/>
      <c r="D111" s="16"/>
      <c r="E111" s="16"/>
      <c r="F111" s="16" t="s">
        <v>327</v>
      </c>
      <c r="G111" s="16" t="s">
        <v>327</v>
      </c>
      <c r="H111" s="16" t="s">
        <v>327</v>
      </c>
    </row>
    <row r="112" spans="1:8" x14ac:dyDescent="0.3">
      <c r="A112" s="16" t="s">
        <v>275</v>
      </c>
      <c r="B112" s="16" t="str">
        <f t="shared" si="3"/>
        <v>IT</v>
      </c>
      <c r="C112" s="16"/>
      <c r="D112" s="16"/>
      <c r="E112" s="16"/>
      <c r="F112" s="16"/>
      <c r="G112" s="16" t="s">
        <v>327</v>
      </c>
      <c r="H112" s="16" t="s">
        <v>327</v>
      </c>
    </row>
    <row r="113" spans="1:8" x14ac:dyDescent="0.3">
      <c r="A113" s="16" t="s">
        <v>277</v>
      </c>
      <c r="B113" s="16" t="str">
        <f t="shared" si="3"/>
        <v>Ventas</v>
      </c>
      <c r="C113" s="16"/>
      <c r="D113" s="16"/>
      <c r="E113" s="16"/>
      <c r="F113" s="16"/>
      <c r="G113" s="16" t="s">
        <v>327</v>
      </c>
      <c r="H113" s="16" t="s">
        <v>327</v>
      </c>
    </row>
    <row r="114" spans="1:8" x14ac:dyDescent="0.3">
      <c r="A114" s="16" t="s">
        <v>279</v>
      </c>
      <c r="B114" s="16" t="str">
        <f t="shared" si="3"/>
        <v>IT</v>
      </c>
      <c r="C114" s="16"/>
      <c r="D114" s="16"/>
      <c r="E114" s="16"/>
      <c r="F114" s="16"/>
      <c r="G114" s="16" t="s">
        <v>327</v>
      </c>
      <c r="H114" s="16" t="s">
        <v>327</v>
      </c>
    </row>
    <row r="115" spans="1:8" x14ac:dyDescent="0.3">
      <c r="A115" s="16" t="s">
        <v>281</v>
      </c>
      <c r="B115" s="16" t="str">
        <f t="shared" si="3"/>
        <v>RRHH</v>
      </c>
      <c r="C115" s="16"/>
      <c r="D115" s="16"/>
      <c r="E115" s="16"/>
      <c r="F115" s="16"/>
      <c r="G115" s="16" t="s">
        <v>327</v>
      </c>
      <c r="H115" s="16" t="s">
        <v>327</v>
      </c>
    </row>
    <row r="116" spans="1:8" x14ac:dyDescent="0.3">
      <c r="A116" s="16" t="s">
        <v>283</v>
      </c>
      <c r="B116" s="16" t="str">
        <f t="shared" si="3"/>
        <v>Finanzas</v>
      </c>
      <c r="C116" s="16"/>
      <c r="D116" s="16"/>
      <c r="E116" s="16"/>
      <c r="F116" s="16"/>
      <c r="G116" s="16"/>
      <c r="H116" s="16" t="s">
        <v>327</v>
      </c>
    </row>
    <row r="117" spans="1:8" x14ac:dyDescent="0.3">
      <c r="A117" s="16" t="s">
        <v>285</v>
      </c>
      <c r="B117" s="16" t="str">
        <f t="shared" si="3"/>
        <v>IT</v>
      </c>
      <c r="C117" s="16"/>
      <c r="D117" s="16"/>
      <c r="E117" s="16"/>
      <c r="F117" s="16"/>
      <c r="G117" s="16"/>
      <c r="H117" s="16" t="s">
        <v>327</v>
      </c>
    </row>
    <row r="118" spans="1:8" x14ac:dyDescent="0.3">
      <c r="A118" s="16" t="s">
        <v>287</v>
      </c>
      <c r="B118" s="16" t="str">
        <f t="shared" si="3"/>
        <v>Operaciones</v>
      </c>
      <c r="C118" s="16"/>
      <c r="D118" s="16"/>
      <c r="E118" s="16"/>
      <c r="F118" s="16"/>
      <c r="G118" s="16"/>
      <c r="H118" s="16" t="s">
        <v>327</v>
      </c>
    </row>
    <row r="119" spans="1:8" x14ac:dyDescent="0.3">
      <c r="A119" s="16" t="s">
        <v>289</v>
      </c>
      <c r="B119" s="16" t="str">
        <f t="shared" si="3"/>
        <v>RRHH</v>
      </c>
      <c r="C119" s="16"/>
      <c r="D119" s="16"/>
      <c r="E119" s="16"/>
      <c r="F119" s="16"/>
      <c r="G119" s="16"/>
      <c r="H119" s="16" t="s">
        <v>327</v>
      </c>
    </row>
    <row r="120" spans="1:8" x14ac:dyDescent="0.3">
      <c r="A120" s="16" t="s">
        <v>291</v>
      </c>
      <c r="B120" s="16" t="str">
        <f t="shared" si="3"/>
        <v>IT</v>
      </c>
      <c r="C120" s="16"/>
      <c r="D120" s="16"/>
      <c r="E120" s="16"/>
      <c r="F120" s="16"/>
      <c r="G120" s="16"/>
      <c r="H120" s="16" t="s">
        <v>327</v>
      </c>
    </row>
    <row r="121" spans="1:8" x14ac:dyDescent="0.3">
      <c r="A121" s="16" t="s">
        <v>293</v>
      </c>
      <c r="B121" s="16" t="str">
        <f t="shared" si="3"/>
        <v>IT</v>
      </c>
      <c r="C121" s="16"/>
      <c r="D121" s="16"/>
      <c r="E121" s="16"/>
      <c r="F121" s="16"/>
      <c r="G121" s="16"/>
      <c r="H121" s="16" t="s">
        <v>327</v>
      </c>
    </row>
    <row r="122" spans="1:8" x14ac:dyDescent="0.3">
      <c r="A122" s="16" t="s">
        <v>295</v>
      </c>
      <c r="B122" s="16" t="str">
        <f t="shared" si="3"/>
        <v>IT</v>
      </c>
      <c r="C122" s="16" t="s">
        <v>327</v>
      </c>
      <c r="D122" s="16" t="s">
        <v>327</v>
      </c>
      <c r="E122" s="16" t="s">
        <v>327</v>
      </c>
      <c r="F122" s="16" t="s">
        <v>327</v>
      </c>
      <c r="G122" s="16" t="s">
        <v>327</v>
      </c>
      <c r="H122" s="16"/>
    </row>
    <row r="123" spans="1:8" x14ac:dyDescent="0.3">
      <c r="A123" s="16" t="s">
        <v>298</v>
      </c>
      <c r="B123" s="16" t="str">
        <f t="shared" si="3"/>
        <v>Ventas</v>
      </c>
      <c r="C123" s="16" t="s">
        <v>327</v>
      </c>
      <c r="D123" s="16"/>
      <c r="E123" s="16"/>
      <c r="F123" s="16"/>
      <c r="G123" s="16"/>
      <c r="H123" s="16"/>
    </row>
    <row r="124" spans="1:8" x14ac:dyDescent="0.3">
      <c r="A124" s="16" t="s">
        <v>300</v>
      </c>
      <c r="B124" s="16" t="str">
        <f t="shared" si="3"/>
        <v>RRHH</v>
      </c>
      <c r="C124" s="16" t="s">
        <v>327</v>
      </c>
      <c r="D124" s="16" t="s">
        <v>327</v>
      </c>
      <c r="E124" s="16" t="s">
        <v>327</v>
      </c>
      <c r="F124" s="16" t="s">
        <v>327</v>
      </c>
      <c r="G124" s="16" t="s">
        <v>327</v>
      </c>
      <c r="H124" s="16" t="s">
        <v>327</v>
      </c>
    </row>
    <row r="125" spans="1:8" x14ac:dyDescent="0.3">
      <c r="A125" s="16" t="s">
        <v>302</v>
      </c>
      <c r="B125" s="16" t="str">
        <f t="shared" si="3"/>
        <v>Operaciones</v>
      </c>
      <c r="C125" s="16" t="s">
        <v>327</v>
      </c>
      <c r="D125" s="16" t="s">
        <v>327</v>
      </c>
      <c r="E125" s="16"/>
      <c r="F125" s="16"/>
      <c r="G125" s="16"/>
      <c r="H125" s="16"/>
    </row>
    <row r="126" spans="1:8" x14ac:dyDescent="0.3">
      <c r="A126" s="16" t="s">
        <v>304</v>
      </c>
      <c r="B126" s="16" t="str">
        <f t="shared" si="3"/>
        <v>IT</v>
      </c>
      <c r="C126" s="16" t="s">
        <v>327</v>
      </c>
      <c r="D126" s="16" t="s">
        <v>328</v>
      </c>
      <c r="E126" s="16" t="s">
        <v>327</v>
      </c>
      <c r="F126" s="16" t="s">
        <v>327</v>
      </c>
      <c r="G126" s="16" t="s">
        <v>327</v>
      </c>
      <c r="H126" s="16"/>
    </row>
    <row r="127" spans="1:8" x14ac:dyDescent="0.3">
      <c r="A127" s="16" t="s">
        <v>306</v>
      </c>
      <c r="B127" s="16" t="str">
        <f t="shared" si="3"/>
        <v>Ventas</v>
      </c>
      <c r="C127" s="16" t="s">
        <v>327</v>
      </c>
      <c r="D127" s="16" t="s">
        <v>327</v>
      </c>
      <c r="E127" s="16" t="s">
        <v>327</v>
      </c>
      <c r="F127" s="16" t="s">
        <v>327</v>
      </c>
      <c r="G127" s="16" t="s">
        <v>327</v>
      </c>
      <c r="H127" s="16" t="s">
        <v>327</v>
      </c>
    </row>
    <row r="128" spans="1:8" x14ac:dyDescent="0.3">
      <c r="A128" s="16" t="s">
        <v>308</v>
      </c>
      <c r="B128" s="16" t="str">
        <f t="shared" si="3"/>
        <v>IT</v>
      </c>
      <c r="C128" s="16" t="s">
        <v>327</v>
      </c>
      <c r="D128" s="16" t="s">
        <v>327</v>
      </c>
      <c r="E128" s="16" t="s">
        <v>327</v>
      </c>
      <c r="F128" s="16" t="s">
        <v>327</v>
      </c>
      <c r="G128" s="16"/>
      <c r="H128" s="16"/>
    </row>
    <row r="129" spans="1:8" x14ac:dyDescent="0.3">
      <c r="A129" s="16" t="s">
        <v>310</v>
      </c>
      <c r="B129" s="16" t="str">
        <f t="shared" si="3"/>
        <v>RRHH</v>
      </c>
      <c r="C129" s="16" t="s">
        <v>327</v>
      </c>
      <c r="D129" s="16" t="s">
        <v>327</v>
      </c>
      <c r="E129" s="16" t="s">
        <v>327</v>
      </c>
      <c r="F129" s="16" t="s">
        <v>327</v>
      </c>
      <c r="G129" s="16"/>
      <c r="H129" s="16"/>
    </row>
    <row r="130" spans="1:8" x14ac:dyDescent="0.3">
      <c r="A130" s="16" t="s">
        <v>312</v>
      </c>
      <c r="B130" s="16" t="str">
        <f t="shared" ref="B130:B161" si="4">INDEX(Datos_Departamento,MATCH(A130,Datos_ID,0))</f>
        <v>Ventas</v>
      </c>
      <c r="C130" s="16" t="s">
        <v>327</v>
      </c>
      <c r="D130" s="16" t="s">
        <v>327</v>
      </c>
      <c r="E130" s="16" t="s">
        <v>327</v>
      </c>
      <c r="F130" s="16"/>
      <c r="G130" s="16"/>
      <c r="H130" s="16"/>
    </row>
    <row r="131" spans="1:8" x14ac:dyDescent="0.3">
      <c r="A131" s="16" t="s">
        <v>314</v>
      </c>
      <c r="B131" s="16" t="str">
        <f t="shared" si="4"/>
        <v>Operaciones</v>
      </c>
      <c r="C131" s="16" t="s">
        <v>327</v>
      </c>
      <c r="D131" s="16" t="s">
        <v>327</v>
      </c>
      <c r="E131" s="16" t="s">
        <v>327</v>
      </c>
      <c r="F131" s="16" t="s">
        <v>327</v>
      </c>
      <c r="G131" s="16" t="s">
        <v>327</v>
      </c>
      <c r="H131" s="16" t="s">
        <v>327</v>
      </c>
    </row>
    <row r="132" spans="1:8" x14ac:dyDescent="0.3">
      <c r="A132" s="16" t="s">
        <v>316</v>
      </c>
      <c r="B132" s="16" t="str">
        <f t="shared" si="4"/>
        <v>Ventas</v>
      </c>
      <c r="C132" s="16" t="s">
        <v>327</v>
      </c>
      <c r="D132" s="16" t="s">
        <v>327</v>
      </c>
      <c r="E132" s="16"/>
      <c r="F132" s="16"/>
      <c r="G132" s="16"/>
      <c r="H132" s="16"/>
    </row>
    <row r="133" spans="1:8" x14ac:dyDescent="0.3">
      <c r="A133" s="16" t="s">
        <v>318</v>
      </c>
      <c r="B133" s="16" t="str">
        <f t="shared" si="4"/>
        <v>Ventas</v>
      </c>
      <c r="C133" s="16" t="s">
        <v>327</v>
      </c>
      <c r="D133" s="16" t="s">
        <v>327</v>
      </c>
      <c r="E133" s="16" t="s">
        <v>327</v>
      </c>
      <c r="F133" s="16" t="s">
        <v>327</v>
      </c>
      <c r="G133" s="16" t="s">
        <v>327</v>
      </c>
      <c r="H133" s="16" t="s">
        <v>327</v>
      </c>
    </row>
    <row r="135" spans="1:8" x14ac:dyDescent="0.3">
      <c r="A135" s="19" t="s">
        <v>329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zoomScaleNormal="100" workbookViewId="0"/>
  </sheetViews>
  <sheetFormatPr baseColWidth="10" defaultColWidth="8.6640625" defaultRowHeight="14.4" x14ac:dyDescent="0.3"/>
  <cols>
    <col min="1" max="1" width="13" customWidth="1"/>
    <col min="2" max="2" width="14" customWidth="1"/>
    <col min="3" max="3" width="13" customWidth="1"/>
    <col min="4" max="4" width="12" customWidth="1"/>
    <col min="5" max="5" width="17" customWidth="1"/>
    <col min="6" max="6" width="15" customWidth="1"/>
    <col min="7" max="7" width="9" customWidth="1"/>
    <col min="8" max="8" width="12" customWidth="1"/>
    <col min="9" max="9" width="16" customWidth="1"/>
    <col min="10" max="10" width="18" customWidth="1"/>
  </cols>
  <sheetData>
    <row r="1" spans="1:10" ht="31.5" customHeight="1" x14ac:dyDescent="0.3">
      <c r="A1" s="15" t="s">
        <v>330</v>
      </c>
      <c r="B1" s="15" t="s">
        <v>331</v>
      </c>
      <c r="C1" s="15" t="s">
        <v>332</v>
      </c>
      <c r="D1" s="15" t="s">
        <v>333</v>
      </c>
      <c r="E1" s="15" t="s">
        <v>334</v>
      </c>
      <c r="F1" s="15" t="s">
        <v>335</v>
      </c>
      <c r="G1" s="15" t="s">
        <v>336</v>
      </c>
      <c r="H1" s="15" t="s">
        <v>337</v>
      </c>
      <c r="I1" s="15" t="s">
        <v>338</v>
      </c>
      <c r="J1" s="15" t="s">
        <v>339</v>
      </c>
    </row>
    <row r="2" spans="1:10" x14ac:dyDescent="0.3">
      <c r="A2" s="16" t="s">
        <v>340</v>
      </c>
      <c r="B2" s="18">
        <v>46143</v>
      </c>
      <c r="C2" s="18">
        <v>46173</v>
      </c>
      <c r="D2" s="16">
        <f t="shared" ref="D2:D7" si="0">COUNTIFS(Datos_Departamento,Crit_Depto,Datos_Ingreso,"&lt;="&amp;C2)-COUNTIFS(Datos_Departamento,Crit_Depto,Datos_Baja,"&lt;="&amp;C2)</f>
        <v>107</v>
      </c>
      <c r="E2" s="17">
        <f t="shared" ref="E2:E7" si="1">SUMIFS(Datos_Salario,Datos_Departamento,Crit_Depto,Datos_Ingreso,"&lt;="&amp;C2)-SUMIFS(Datos_Salario,Datos_Departamento,Crit_Depto,Datos_Baja,"&lt;="&amp;C2)</f>
        <v>354390</v>
      </c>
      <c r="F2" s="16">
        <f t="shared" ref="F2:F7" si="2">COUNTIFS(Datos_Departamento,Crit_Depto,Datos_Ingreso,"&gt;="&amp;B2,Datos_Ingreso,"&lt;="&amp;C2)</f>
        <v>4</v>
      </c>
      <c r="G2" s="16">
        <f t="shared" ref="G2:G7" si="3">COUNTIFS(Datos_Departamento,Crit_Depto,Datos_Baja,"&gt;="&amp;B2,Datos_Baja,"&lt;="&amp;C2)</f>
        <v>1</v>
      </c>
      <c r="H2" s="20">
        <f t="shared" ref="H2:H7" si="4">IFERROR(G2/D2,0)</f>
        <v>9.3457943925233638E-3</v>
      </c>
      <c r="I2" s="20">
        <f>IFERROR(COUNTIFS(Pagos!$B$2:$B$133,Crit_Depto,Pagos!C$2:C$133,"Sí")/(COUNTIFS(Pagos!$B$2:$B$133,Crit_Depto,Pagos!C$2:C$133,"Sí")+COUNTIFS(Pagos!$B$2:$B$133,Crit_Depto,Pagos!C$2:C$133,"No")),0)</f>
        <v>0.96296296296296291</v>
      </c>
      <c r="J2" s="17">
        <f t="shared" ref="J2:J7" si="5">IFERROR(E2/D2,0)</f>
        <v>3312.0560747663553</v>
      </c>
    </row>
    <row r="3" spans="1:10" x14ac:dyDescent="0.3">
      <c r="A3" s="16" t="s">
        <v>341</v>
      </c>
      <c r="B3" s="18">
        <v>46174</v>
      </c>
      <c r="C3" s="18">
        <v>46203</v>
      </c>
      <c r="D3" s="16">
        <f t="shared" si="0"/>
        <v>110</v>
      </c>
      <c r="E3" s="17">
        <f t="shared" si="1"/>
        <v>366120</v>
      </c>
      <c r="F3" s="16">
        <f t="shared" si="2"/>
        <v>5</v>
      </c>
      <c r="G3" s="16">
        <f t="shared" si="3"/>
        <v>2</v>
      </c>
      <c r="H3" s="20">
        <f t="shared" si="4"/>
        <v>1.8181818181818181E-2</v>
      </c>
      <c r="I3" s="20">
        <f>IFERROR(COUNTIFS(Pagos!$B$2:$B$133,Crit_Depto,Pagos!D$2:D$133,"Sí")/(COUNTIFS(Pagos!$B$2:$B$133,Crit_Depto,Pagos!D$2:D$133,"Sí")+COUNTIFS(Pagos!$B$2:$B$133,Crit_Depto,Pagos!D$2:D$133,"No")),0)</f>
        <v>0.9732142857142857</v>
      </c>
      <c r="J3" s="17">
        <f t="shared" si="5"/>
        <v>3328.3636363636365</v>
      </c>
    </row>
    <row r="4" spans="1:10" x14ac:dyDescent="0.3">
      <c r="A4" s="16" t="s">
        <v>342</v>
      </c>
      <c r="B4" s="18">
        <v>46204</v>
      </c>
      <c r="C4" s="18">
        <v>46234</v>
      </c>
      <c r="D4" s="16">
        <f t="shared" si="0"/>
        <v>113</v>
      </c>
      <c r="E4" s="17">
        <f t="shared" si="1"/>
        <v>375830</v>
      </c>
      <c r="F4" s="16">
        <f t="shared" si="2"/>
        <v>4</v>
      </c>
      <c r="G4" s="16">
        <f t="shared" si="3"/>
        <v>1</v>
      </c>
      <c r="H4" s="20">
        <f t="shared" si="4"/>
        <v>8.8495575221238937E-3</v>
      </c>
      <c r="I4" s="20">
        <f>IFERROR(COUNTIFS(Pagos!$B$2:$B$133,Crit_Depto,Pagos!E$2:E$133,"Sí")/(COUNTIFS(Pagos!$B$2:$B$133,Crit_Depto,Pagos!E$2:E$133,"Sí")+COUNTIFS(Pagos!$B$2:$B$133,Crit_Depto,Pagos!E$2:E$133,"No")),0)</f>
        <v>0.97368421052631582</v>
      </c>
      <c r="J4" s="17">
        <f t="shared" si="5"/>
        <v>3325.929203539823</v>
      </c>
    </row>
    <row r="5" spans="1:10" x14ac:dyDescent="0.3">
      <c r="A5" s="16" t="s">
        <v>343</v>
      </c>
      <c r="B5" s="18">
        <v>46235</v>
      </c>
      <c r="C5" s="18">
        <v>46265</v>
      </c>
      <c r="D5" s="16">
        <f t="shared" si="0"/>
        <v>116</v>
      </c>
      <c r="E5" s="17">
        <f t="shared" si="1"/>
        <v>386050</v>
      </c>
      <c r="F5" s="16">
        <f t="shared" si="2"/>
        <v>5</v>
      </c>
      <c r="G5" s="16">
        <f t="shared" si="3"/>
        <v>2</v>
      </c>
      <c r="H5" s="20">
        <f t="shared" si="4"/>
        <v>1.7241379310344827E-2</v>
      </c>
      <c r="I5" s="20">
        <f>IFERROR(COUNTIFS(Pagos!$B$2:$B$133,Crit_Depto,Pagos!F$2:F$133,"Sí")/(COUNTIFS(Pagos!$B$2:$B$133,Crit_Depto,Pagos!F$2:F$133,"Sí")+COUNTIFS(Pagos!$B$2:$B$133,Crit_Depto,Pagos!F$2:F$133,"No")),0)</f>
        <v>0.98305084745762716</v>
      </c>
      <c r="J5" s="17">
        <f t="shared" si="5"/>
        <v>3328.0172413793102</v>
      </c>
    </row>
    <row r="6" spans="1:10" x14ac:dyDescent="0.3">
      <c r="A6" s="16" t="s">
        <v>344</v>
      </c>
      <c r="B6" s="18">
        <v>46266</v>
      </c>
      <c r="C6" s="18">
        <v>46295</v>
      </c>
      <c r="D6" s="16">
        <f t="shared" si="0"/>
        <v>118</v>
      </c>
      <c r="E6" s="17">
        <f t="shared" si="1"/>
        <v>393260</v>
      </c>
      <c r="F6" s="16">
        <f t="shared" si="2"/>
        <v>4</v>
      </c>
      <c r="G6" s="16">
        <f t="shared" si="3"/>
        <v>2</v>
      </c>
      <c r="H6" s="20">
        <f t="shared" si="4"/>
        <v>1.6949152542372881E-2</v>
      </c>
      <c r="I6" s="20">
        <f>IFERROR(COUNTIFS(Pagos!$B$2:$B$133,Crit_Depto,Pagos!G$2:G$133,"Sí")/(COUNTIFS(Pagos!$B$2:$B$133,Crit_Depto,Pagos!G$2:G$133,"Sí")+COUNTIFS(Pagos!$B$2:$B$133,Crit_Depto,Pagos!G$2:G$133,"No")),0)</f>
        <v>0.98333333333333328</v>
      </c>
      <c r="J6" s="17">
        <f t="shared" si="5"/>
        <v>3332.7118644067796</v>
      </c>
    </row>
    <row r="7" spans="1:10" x14ac:dyDescent="0.3">
      <c r="A7" s="16" t="s">
        <v>345</v>
      </c>
      <c r="B7" s="18">
        <v>46296</v>
      </c>
      <c r="C7" s="18">
        <v>46326</v>
      </c>
      <c r="D7" s="16">
        <f t="shared" si="0"/>
        <v>120</v>
      </c>
      <c r="E7" s="17">
        <f t="shared" si="1"/>
        <v>404470</v>
      </c>
      <c r="F7" s="16">
        <f t="shared" si="2"/>
        <v>6</v>
      </c>
      <c r="G7" s="16">
        <f t="shared" si="3"/>
        <v>4</v>
      </c>
      <c r="H7" s="20">
        <f t="shared" si="4"/>
        <v>3.3333333333333333E-2</v>
      </c>
      <c r="I7" s="20">
        <f>IFERROR(COUNTIFS(Pagos!$B$2:$B$133,Crit_Depto,Pagos!H$2:H$133,"Sí")/(COUNTIFS(Pagos!$B$2:$B$133,Crit_Depto,Pagos!H$2:H$133,"Sí")+COUNTIFS(Pagos!$B$2:$B$133,Crit_Depto,Pagos!H$2:H$133,"No")),0)</f>
        <v>0.99193548387096775</v>
      </c>
      <c r="J7" s="17">
        <f t="shared" si="5"/>
        <v>3370.5833333333335</v>
      </c>
    </row>
    <row r="9" spans="1:10" x14ac:dyDescent="0.3">
      <c r="A9" s="19" t="s">
        <v>346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zoomScaleNormal="100" workbookViewId="0"/>
  </sheetViews>
  <sheetFormatPr baseColWidth="10" defaultColWidth="8.6640625" defaultRowHeight="14.4" x14ac:dyDescent="0.3"/>
  <cols>
    <col min="1" max="1" width="34" customWidth="1"/>
    <col min="2" max="3" width="20" customWidth="1"/>
    <col min="4" max="4" width="13" customWidth="1"/>
  </cols>
  <sheetData>
    <row r="1" spans="1:4" ht="16.8" x14ac:dyDescent="0.3">
      <c r="A1" s="21" t="s">
        <v>347</v>
      </c>
    </row>
    <row r="2" spans="1:4" x14ac:dyDescent="0.3">
      <c r="A2" s="22" t="s">
        <v>348</v>
      </c>
      <c r="B2" s="23" t="str">
        <f>Dashboard!$E$6</f>
        <v>Todos</v>
      </c>
    </row>
    <row r="3" spans="1:4" x14ac:dyDescent="0.3">
      <c r="A3" s="22" t="s">
        <v>349</v>
      </c>
      <c r="B3" s="23" t="str">
        <f>IF(B2="Todos","*",B2)</f>
        <v>*</v>
      </c>
    </row>
    <row r="5" spans="1:4" x14ac:dyDescent="0.3">
      <c r="A5" s="24" t="s">
        <v>350</v>
      </c>
      <c r="B5" s="24" t="s">
        <v>351</v>
      </c>
      <c r="C5" s="24" t="s">
        <v>352</v>
      </c>
      <c r="D5" s="24" t="s">
        <v>353</v>
      </c>
    </row>
    <row r="6" spans="1:4" x14ac:dyDescent="0.3">
      <c r="A6" s="23" t="s">
        <v>354</v>
      </c>
      <c r="B6" s="25">
        <f>Nomina_Mensual!D7</f>
        <v>120</v>
      </c>
      <c r="C6" s="25">
        <f>Nomina_Mensual!D6</f>
        <v>118</v>
      </c>
      <c r="D6" s="20">
        <f>IFERROR((B6-C6)/C6,0)</f>
        <v>1.6949152542372881E-2</v>
      </c>
    </row>
    <row r="7" spans="1:4" x14ac:dyDescent="0.3">
      <c r="A7" s="23" t="s">
        <v>355</v>
      </c>
      <c r="B7" s="17">
        <f>Nomina_Mensual!E7</f>
        <v>404470</v>
      </c>
      <c r="C7" s="17">
        <f>Nomina_Mensual!E6</f>
        <v>393260</v>
      </c>
      <c r="D7" s="20">
        <f>IFERROR((B7-C7)/C7,0)</f>
        <v>2.8505314550170371E-2</v>
      </c>
    </row>
    <row r="8" spans="1:4" x14ac:dyDescent="0.3">
      <c r="A8" s="23" t="s">
        <v>356</v>
      </c>
      <c r="B8" s="17">
        <f>Nomina_Mensual!J7</f>
        <v>3370.5833333333335</v>
      </c>
      <c r="C8" s="17">
        <f>Nomina_Mensual!J6</f>
        <v>3332.7118644067796</v>
      </c>
      <c r="D8" s="20">
        <f>IFERROR((B8-C8)/C8,0)</f>
        <v>1.1363559307667605E-2</v>
      </c>
    </row>
    <row r="9" spans="1:4" x14ac:dyDescent="0.3">
      <c r="A9" s="23" t="s">
        <v>338</v>
      </c>
      <c r="B9" s="20">
        <f>Nomina_Mensual!I7</f>
        <v>0.99193548387096775</v>
      </c>
      <c r="C9" s="20">
        <f>Nomina_Mensual!I6</f>
        <v>0.98333333333333328</v>
      </c>
      <c r="D9" s="20">
        <f>B9-C9</f>
        <v>8.6021505376344676E-3</v>
      </c>
    </row>
    <row r="10" spans="1:4" x14ac:dyDescent="0.3">
      <c r="A10" s="23" t="s">
        <v>357</v>
      </c>
      <c r="B10" s="25">
        <f>Nomina_Mensual!F7</f>
        <v>6</v>
      </c>
      <c r="C10" s="25">
        <f>Nomina_Mensual!F6</f>
        <v>4</v>
      </c>
      <c r="D10" s="20">
        <f>IFERROR((B10-C10)/C10,0)</f>
        <v>0.5</v>
      </c>
    </row>
    <row r="11" spans="1:4" x14ac:dyDescent="0.3">
      <c r="A11" s="23" t="s">
        <v>358</v>
      </c>
      <c r="B11" s="20">
        <f>Nomina_Mensual!H7</f>
        <v>3.3333333333333333E-2</v>
      </c>
      <c r="C11" s="20">
        <f>Nomina_Mensual!H6</f>
        <v>1.6949152542372881E-2</v>
      </c>
      <c r="D11" s="20">
        <f>B11-C11</f>
        <v>1.6384180790960452E-2</v>
      </c>
    </row>
    <row r="14" spans="1:4" x14ac:dyDescent="0.3">
      <c r="A14" s="24" t="s">
        <v>17</v>
      </c>
      <c r="B14" s="24" t="s">
        <v>356</v>
      </c>
      <c r="C14" s="24" t="s">
        <v>333</v>
      </c>
    </row>
    <row r="15" spans="1:4" x14ac:dyDescent="0.3">
      <c r="A15" s="16" t="s">
        <v>38</v>
      </c>
      <c r="B15" s="17">
        <f>IFERROR(AVERAGEIFS(Datos_Salario,Datos_Departamento,A15,Datos_Estado,"&lt;&gt;Baja"),0)</f>
        <v>3803.2432432432433</v>
      </c>
      <c r="C15" s="16">
        <f>COUNTIFS(Datos_Departamento,A15,Datos_Estado,"&lt;&gt;Baja")</f>
        <v>37</v>
      </c>
    </row>
    <row r="16" spans="1:4" x14ac:dyDescent="0.3">
      <c r="A16" s="16" t="s">
        <v>65</v>
      </c>
      <c r="B16" s="17">
        <f>IFERROR(AVERAGEIFS(Datos_Salario,Datos_Departamento,A16,Datos_Estado,"&lt;&gt;Baja"),0)</f>
        <v>3193.7931034482758</v>
      </c>
      <c r="C16" s="16">
        <f>COUNTIFS(Datos_Departamento,A16,Datos_Estado,"&lt;&gt;Baja")</f>
        <v>29</v>
      </c>
    </row>
    <row r="17" spans="1:3" x14ac:dyDescent="0.3">
      <c r="A17" s="16" t="s">
        <v>98</v>
      </c>
      <c r="B17" s="17">
        <f>IFERROR(AVERAGEIFS(Datos_Salario,Datos_Departamento,A17,Datos_Estado,"&lt;&gt;Baja"),0)</f>
        <v>3517.3333333333335</v>
      </c>
      <c r="C17" s="16">
        <f>COUNTIFS(Datos_Departamento,A17,Datos_Estado,"&lt;&gt;Baja")</f>
        <v>15</v>
      </c>
    </row>
    <row r="18" spans="1:3" x14ac:dyDescent="0.3">
      <c r="A18" s="16" t="s">
        <v>27</v>
      </c>
      <c r="B18" s="17">
        <f>IFERROR(AVERAGEIFS(Datos_Salario,Datos_Departamento,A18,Datos_Estado,"&lt;&gt;Baja"),0)</f>
        <v>3043.1578947368421</v>
      </c>
      <c r="C18" s="16">
        <f>COUNTIFS(Datos_Departamento,A18,Datos_Estado,"&lt;&gt;Baja")</f>
        <v>19</v>
      </c>
    </row>
    <row r="19" spans="1:3" x14ac:dyDescent="0.3">
      <c r="A19" s="16" t="s">
        <v>33</v>
      </c>
      <c r="B19" s="17">
        <f>IFERROR(AVERAGEIFS(Datos_Salario,Datos_Departamento,A19,Datos_Estado,"&lt;&gt;Baja"),0)</f>
        <v>3027.5</v>
      </c>
      <c r="C19" s="16">
        <f>COUNTIFS(Datos_Departamento,A19,Datos_Estado,"&lt;&gt;Baja")</f>
        <v>20</v>
      </c>
    </row>
    <row r="22" spans="1:3" x14ac:dyDescent="0.3">
      <c r="A22" s="24" t="s">
        <v>359</v>
      </c>
      <c r="B22" s="24" t="s">
        <v>360</v>
      </c>
    </row>
    <row r="23" spans="1:3" x14ac:dyDescent="0.3">
      <c r="A23" s="16" t="s">
        <v>361</v>
      </c>
      <c r="B23" s="16">
        <f>COUNTIFS(Datos_Departamento,Crit_Depto,Datos_Estado,"&lt;&gt;Baja",Datos_Salario,"&lt;2500")</f>
        <v>7</v>
      </c>
    </row>
    <row r="24" spans="1:3" x14ac:dyDescent="0.3">
      <c r="A24" s="16" t="s">
        <v>362</v>
      </c>
      <c r="B24" s="16">
        <f>COUNTIFS(Datos_Departamento,Crit_Depto,Datos_Estado,"&lt;&gt;Baja",Datos_Salario,"&gt;=2500",Datos_Salario,"&lt;3000")</f>
        <v>25</v>
      </c>
    </row>
    <row r="25" spans="1:3" x14ac:dyDescent="0.3">
      <c r="A25" s="16" t="s">
        <v>363</v>
      </c>
      <c r="B25" s="16">
        <f>COUNTIFS(Datos_Departamento,Crit_Depto,Datos_Estado,"&lt;&gt;Baja",Datos_Salario,"&gt;=3000",Datos_Salario,"&lt;3500")</f>
        <v>40</v>
      </c>
    </row>
    <row r="26" spans="1:3" x14ac:dyDescent="0.3">
      <c r="A26" s="16" t="s">
        <v>364</v>
      </c>
      <c r="B26" s="16">
        <f>COUNTIFS(Datos_Departamento,Crit_Depto,Datos_Estado,"&lt;&gt;Baja",Datos_Salario,"&gt;=3500",Datos_Salario,"&lt;4000")</f>
        <v>30</v>
      </c>
    </row>
    <row r="27" spans="1:3" x14ac:dyDescent="0.3">
      <c r="A27" s="16" t="s">
        <v>365</v>
      </c>
      <c r="B27" s="16">
        <f>COUNTIFS(Datos_Departamento,Crit_Depto,Datos_Estado,"&lt;&gt;Baja",Datos_Salario,"&gt;=4000",Datos_Salario,"&lt;4500")</f>
        <v>12</v>
      </c>
    </row>
    <row r="28" spans="1:3" x14ac:dyDescent="0.3">
      <c r="A28" s="16" t="s">
        <v>366</v>
      </c>
      <c r="B28" s="16">
        <f>COUNTIFS(Datos_Departamento,Crit_Depto,Datos_Estado,"&lt;&gt;Baja",Datos_Salario,"&gt;=4500")</f>
        <v>6</v>
      </c>
    </row>
    <row r="31" spans="1:3" x14ac:dyDescent="0.3">
      <c r="A31" s="22" t="s">
        <v>367</v>
      </c>
      <c r="B31" s="26">
        <f>RSQ(Vig_Salario,Vig_Rating)</f>
        <v>0.70675010799814419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zoomScaleNormal="100" workbookViewId="0"/>
  </sheetViews>
  <sheetFormatPr baseColWidth="10" defaultColWidth="8.6640625" defaultRowHeight="14.4" x14ac:dyDescent="0.3"/>
  <cols>
    <col min="1" max="1" width="28" customWidth="1"/>
    <col min="2" max="2" width="70" customWidth="1"/>
    <col min="3" max="3" width="58" customWidth="1"/>
  </cols>
  <sheetData>
    <row r="1" spans="1:3" ht="17.399999999999999" x14ac:dyDescent="0.3">
      <c r="A1" s="27" t="s">
        <v>368</v>
      </c>
    </row>
    <row r="3" spans="1:3" x14ac:dyDescent="0.3">
      <c r="A3" s="15" t="s">
        <v>369</v>
      </c>
      <c r="B3" s="15" t="s">
        <v>370</v>
      </c>
      <c r="C3" s="15" t="s">
        <v>371</v>
      </c>
    </row>
    <row r="4" spans="1:3" ht="48" customHeight="1" x14ac:dyDescent="0.3">
      <c r="A4" s="28" t="s">
        <v>372</v>
      </c>
      <c r="B4" s="29" t="s">
        <v>373</v>
      </c>
      <c r="C4" s="30" t="s">
        <v>374</v>
      </c>
    </row>
    <row r="5" spans="1:3" ht="48" customHeight="1" x14ac:dyDescent="0.3">
      <c r="A5" s="28" t="s">
        <v>375</v>
      </c>
      <c r="B5" s="29" t="s">
        <v>376</v>
      </c>
      <c r="C5" s="30" t="s">
        <v>377</v>
      </c>
    </row>
    <row r="6" spans="1:3" ht="48" customHeight="1" x14ac:dyDescent="0.3">
      <c r="A6" s="28" t="s">
        <v>355</v>
      </c>
      <c r="B6" s="29" t="s">
        <v>378</v>
      </c>
      <c r="C6" s="30" t="s">
        <v>379</v>
      </c>
    </row>
    <row r="7" spans="1:3" ht="48" customHeight="1" x14ac:dyDescent="0.3">
      <c r="A7" s="28" t="s">
        <v>356</v>
      </c>
      <c r="B7" s="29" t="s">
        <v>380</v>
      </c>
      <c r="C7" s="30" t="s">
        <v>381</v>
      </c>
    </row>
    <row r="8" spans="1:3" ht="48" customHeight="1" x14ac:dyDescent="0.3">
      <c r="A8" s="28" t="s">
        <v>338</v>
      </c>
      <c r="B8" s="29" t="s">
        <v>382</v>
      </c>
      <c r="C8" s="30" t="s">
        <v>383</v>
      </c>
    </row>
    <row r="9" spans="1:3" ht="48" customHeight="1" x14ac:dyDescent="0.3">
      <c r="A9" s="28" t="s">
        <v>357</v>
      </c>
      <c r="B9" s="29" t="s">
        <v>384</v>
      </c>
      <c r="C9" s="30" t="s">
        <v>385</v>
      </c>
    </row>
    <row r="10" spans="1:3" ht="48" customHeight="1" x14ac:dyDescent="0.3">
      <c r="A10" s="28" t="s">
        <v>358</v>
      </c>
      <c r="B10" s="29" t="s">
        <v>386</v>
      </c>
      <c r="C10" s="30" t="s">
        <v>387</v>
      </c>
    </row>
    <row r="11" spans="1:3" ht="48" customHeight="1" x14ac:dyDescent="0.3">
      <c r="A11" s="28" t="s">
        <v>388</v>
      </c>
      <c r="B11" s="29" t="s">
        <v>389</v>
      </c>
      <c r="C11" s="30" t="s">
        <v>390</v>
      </c>
    </row>
    <row r="12" spans="1:3" ht="48" customHeight="1" x14ac:dyDescent="0.3">
      <c r="A12" s="28" t="s">
        <v>391</v>
      </c>
      <c r="B12" s="29" t="s">
        <v>392</v>
      </c>
      <c r="C12" s="30" t="s">
        <v>393</v>
      </c>
    </row>
    <row r="13" spans="1:3" ht="48" customHeight="1" x14ac:dyDescent="0.3">
      <c r="A13" s="28" t="s">
        <v>394</v>
      </c>
      <c r="B13" s="29" t="s">
        <v>395</v>
      </c>
      <c r="C13" s="30" t="s">
        <v>396</v>
      </c>
    </row>
    <row r="14" spans="1:3" ht="48" customHeight="1" x14ac:dyDescent="0.3">
      <c r="A14" s="28" t="s">
        <v>397</v>
      </c>
      <c r="B14" s="29" t="s">
        <v>398</v>
      </c>
      <c r="C14" s="30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</vt:i4>
      </vt:variant>
    </vt:vector>
  </HeadingPairs>
  <TitlesOfParts>
    <vt:vector size="18" baseType="lpstr">
      <vt:lpstr>Dashboard</vt:lpstr>
      <vt:lpstr>Datos</vt:lpstr>
      <vt:lpstr>Tablas_Pivot</vt:lpstr>
      <vt:lpstr>Dashboard_Segmentaciones</vt:lpstr>
      <vt:lpstr>Pagos</vt:lpstr>
      <vt:lpstr>Nomina_Mensual</vt:lpstr>
      <vt:lpstr>Calculos</vt:lpstr>
      <vt:lpstr>Formulas_Clave</vt:lpstr>
      <vt:lpstr>Crit_Depto</vt:lpstr>
      <vt:lpstr>Datos_Baja</vt:lpstr>
      <vt:lpstr>Datos_Departamento</vt:lpstr>
      <vt:lpstr>Datos_Estado</vt:lpstr>
      <vt:lpstr>Datos_ID</vt:lpstr>
      <vt:lpstr>Datos_Ingreso</vt:lpstr>
      <vt:lpstr>Datos_Rating</vt:lpstr>
      <vt:lpstr>Datos_Salario</vt:lpstr>
      <vt:lpstr>Vig_Rating</vt:lpstr>
      <vt:lpstr>Vig_Salario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Leidy Lozada</cp:lastModifiedBy>
  <cp:revision>1</cp:revision>
  <dcterms:created xsi:type="dcterms:W3CDTF">2026-10-21T13:47:57Z</dcterms:created>
  <dcterms:modified xsi:type="dcterms:W3CDTF">2026-10-22T22:41:34Z</dcterms:modified>
  <dc:language>en-US</dc:language>
</cp:coreProperties>
</file>